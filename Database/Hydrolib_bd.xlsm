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ЭтаКнига"/>
  <xr:revisionPtr revIDLastSave="0" documentId="13_ncr:1_{56C219AF-7509-4522-B70B-557810487B60}" xr6:coauthVersionLast="47" xr6:coauthVersionMax="47" xr10:uidLastSave="{00000000-0000-0000-0000-000000000000}"/>
  <bookViews>
    <workbookView xWindow="-108" yWindow="-108" windowWidth="23256" windowHeight="12456" tabRatio="896" activeTab="8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8" i="11" l="1"/>
  <c r="C31" i="10"/>
  <c r="F31" i="10"/>
  <c r="H31" i="10"/>
  <c r="J31" i="10"/>
  <c r="L31" i="10"/>
  <c r="C69" i="1"/>
  <c r="D69" i="1"/>
  <c r="E69" i="1"/>
  <c r="F69" i="1"/>
  <c r="C68" i="1"/>
  <c r="D68" i="1"/>
  <c r="E68" i="1"/>
  <c r="F68" i="1"/>
  <c r="F69" i="6"/>
  <c r="F68" i="6"/>
  <c r="E69" i="6"/>
  <c r="D69" i="6"/>
  <c r="D58" i="6"/>
  <c r="C68" i="6"/>
  <c r="D68" i="6"/>
  <c r="D67" i="6"/>
  <c r="E68" i="6"/>
  <c r="C67" i="1"/>
  <c r="D67" i="1"/>
  <c r="E67" i="1"/>
  <c r="F67" i="1"/>
  <c r="C66" i="1"/>
  <c r="D66" i="1"/>
  <c r="E66" i="1"/>
  <c r="F66" i="1"/>
  <c r="C65" i="1"/>
  <c r="D65" i="1"/>
  <c r="E65" i="1"/>
  <c r="F65" i="1"/>
  <c r="C64" i="1"/>
  <c r="D64" i="1"/>
  <c r="E64" i="1"/>
  <c r="F64" i="1"/>
  <c r="C26" i="5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0" i="4"/>
  <c r="F20" i="4"/>
  <c r="C19" i="4"/>
  <c r="F19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<sst xmlns="http://schemas.openxmlformats.org/spreadsheetml/2006/main" count="4163" uniqueCount="1733">
  <si>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</si>
  <si>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</si>
  <si>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</si>
  <si>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</si>
  <si>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</si>
  <si>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</si>
  <si>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</si>
  <si>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</si>
  <si>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</si>
  <si>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</si>
  <si>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</si>
  <si>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</si>
  <si>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</si>
  <si>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</si>
  <si>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</si>
  <si>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</si>
  <si>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</si>
  <si>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</si>
  <si>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</si>
  <si>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</si>
  <si>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</si>
  <si>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</si>
  <si>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</si>
  <si>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</si>
  <si>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</si>
  <si>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</si>
  <si>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</si>
  <si>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</si>
  <si>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</si>
  <si>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</si>
  <si>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</si>
  <si>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</si>
  <si>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</si>
  <si>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</si>
  <si>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</si>
  <si>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</si>
  <si>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</si>
  <si>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</si>
  <si>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</si>
  <si>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</si>
  <si>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</si>
  <si>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</si>
  <si>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</si>
  <si>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</si>
  <si>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</si>
  <si>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</si>
  <si>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</si>
  <si>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</si>
  <si>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</si>
  <si>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</si>
  <si>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</si>
  <si>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</si>
  <si>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</si>
  <si>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</si>
  <si>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</si>
  <si>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</si>
  <si>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</si>
  <si>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</si>
  <si>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</si>
  <si>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</si>
  <si>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</si>
  <si>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</si>
  <si>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</si>
  <si>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</si>
  <si>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</si>
  <si>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</si>
  <si>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</si>
  <si>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</si>
  <si>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</si>
  <si>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</si>
  <si>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</si>
  <si>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</si>
  <si>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</si>
  <si>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</si>
  <si>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</si>
  <si>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</si>
  <si>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</si>
  <si>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</si>
  <si>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</si>
  <si>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</si>
  <si>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</si>
  <si>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</si>
  <si>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</si>
  <si>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</si>
  <si>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</si>
  <si>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</si>
  <si>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</si>
  <si>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</si>
  <si>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</si>
  <si>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</si>
  <si>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</si>
  <si>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</si>
  <si>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</si>
  <si>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</si>
  <si>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</si>
  <si>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</si>
  <si>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</si>
  <si>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</si>
  <si>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</si>
  <si>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</si>
  <si>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</si>
  <si>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</si>
  <si>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</si>
  <si>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</si>
  <si>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</si>
  <si>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</si>
  <si>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</si>
  <si>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</si>
  <si>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</si>
  <si>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</si>
  <si>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</si>
  <si>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</si>
  <si>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</si>
  <si>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</si>
  <si>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</si>
  <si>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</si>
  <si>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</si>
  <si>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</si>
  <si>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</si>
  <si>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</si>
  <si>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</si>
  <si>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</si>
  <si>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</si>
  <si>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</si>
  <si>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</si>
  <si>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</si>
  <si>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</si>
  <si>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</si>
  <si>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</si>
  <si>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</si>
  <si>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</si>
  <si>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</si>
  <si>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</si>
  <si>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</si>
  <si>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</si>
  <si>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</si>
  <si>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</si>
  <si>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</si>
  <si>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</si>
  <si>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</si>
  <si>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</si>
  <si>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</si>
  <si>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</si>
  <si>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</si>
  <si>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</si>
  <si>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</si>
  <si>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</si>
  <si>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</si>
  <si>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</si>
  <si>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</si>
  <si>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</si>
  <si>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</si>
  <si>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</si>
  <si>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</si>
  <si>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</si>
  <si>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</si>
  <si>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</si>
  <si>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</si>
  <si>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</si>
  <si>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</si>
  <si>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</si>
  <si>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</si>
  <si>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</si>
  <si>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</si>
  <si>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</si>
  <si>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</si>
  <si>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</si>
  <si>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</si>
  <si>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</si>
  <si>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</si>
  <si>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</si>
  <si>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</si>
  <si>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</si>
  <si>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</si>
  <si>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</si>
  <si>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</si>
  <si>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</si>
  <si>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</si>
  <si>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</si>
  <si>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</si>
  <si>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</si>
  <si>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</si>
  <si>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</si>
  <si>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</si>
  <si>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</si>
  <si>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</si>
  <si>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</si>
  <si>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</si>
  <si>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</si>
  <si>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</si>
  <si>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</si>
  <si>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</si>
  <si>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</si>
  <si>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</si>
  <si>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</si>
  <si>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</si>
  <si>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</si>
  <si>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</si>
  <si>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</si>
  <si>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</si>
  <si>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</si>
  <si>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</si>
  <si>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</si>
  <si>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</si>
  <si>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</si>
  <si>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</si>
  <si>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</si>
  <si>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</si>
  <si>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</si>
  <si>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</si>
  <si>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</si>
  <si>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</si>
  <si>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</si>
  <si>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</si>
  <si>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</si>
  <si>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</si>
  <si>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</si>
  <si>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</si>
  <si>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</si>
  <si>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</si>
  <si>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</si>
  <si>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</si>
  <si>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</si>
  <si>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</si>
  <si>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</si>
  <si>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</si>
  <si>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</si>
  <si>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</si>
  <si>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</si>
  <si>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</si>
  <si>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</si>
  <si>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</si>
  <si>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</si>
  <si>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</si>
  <si>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</si>
  <si>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</si>
  <si>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</si>
  <si>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</si>
  <si>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</si>
  <si>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</si>
  <si>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</si>
  <si>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</si>
  <si>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</si>
  <si>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</si>
  <si>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</si>
  <si>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</si>
  <si>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</si>
  <si>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</si>
  <si>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</si>
  <si>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</si>
  <si>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</si>
  <si>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</si>
  <si>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</si>
  <si>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</si>
  <si>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</si>
  <si>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</si>
  <si>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</si>
  <si>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</si>
  <si>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</si>
  <si>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</si>
  <si>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</si>
  <si>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</si>
  <si>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</si>
  <si>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</si>
  <si>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</si>
  <si>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</si>
  <si>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</si>
  <si>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</si>
  <si>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</si>
  <si>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</si>
  <si>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</si>
  <si>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</si>
  <si>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</si>
  <si>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</si>
  <si>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</si>
  <si>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</si>
  <si>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</si>
  <si>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</si>
  <si>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</si>
  <si>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</si>
  <si>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</si>
  <si>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</si>
  <si>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</si>
  <si>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</si>
  <si>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</si>
  <si>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</si>
  <si>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</si>
  <si>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</si>
  <si>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</si>
  <si>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</si>
  <si>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</si>
  <si>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</si>
  <si>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</si>
  <si>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</si>
  <si>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</si>
  <si>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</si>
  <si>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</si>
  <si>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</si>
  <si>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</si>
  <si>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</si>
  <si>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</si>
  <si>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</si>
  <si>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</si>
  <si>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</si>
  <si>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</si>
  <si>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</si>
  <si>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</si>
  <si>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</si>
  <si>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</si>
  <si>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</si>
  <si>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</si>
  <si>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</si>
  <si>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</si>
  <si>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</si>
  <si>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</si>
  <si>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</si>
  <si>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</si>
  <si>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</si>
  <si>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</si>
  <si>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</si>
  <si>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</si>
  <si>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</si>
  <si>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</si>
  <si>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</si>
  <si>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</si>
  <si>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</si>
  <si>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</si>
  <si>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</si>
  <si>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</si>
  <si>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</si>
  <si>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</si>
  <si>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</si>
  <si>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</si>
  <si>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</si>
  <si>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</si>
  <si>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</si>
  <si>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</si>
  <si>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</si>
  <si>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</si>
  <si>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</si>
  <si>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</si>
  <si>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</si>
  <si>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</si>
  <si>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</si>
  <si>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</si>
  <si>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</si>
  <si>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</si>
  <si>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</si>
  <si>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</si>
  <si>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</si>
  <si>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</si>
  <si>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</si>
  <si>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</si>
  <si>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</si>
  <si>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</si>
  <si>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</si>
  <si>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</si>
  <si>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</si>
  <si>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</si>
  <si>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</si>
  <si>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</si>
  <si>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</si>
  <si>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</si>
  <si>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</si>
  <si>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</si>
  <si>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</si>
  <si>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</si>
  <si>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</si>
  <si>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</si>
  <si>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</si>
  <si>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</si>
  <si>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</si>
  <si>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</si>
  <si>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</si>
  <si>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</si>
  <si>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</si>
  <si>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</si>
  <si>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</si>
  <si>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</si>
  <si>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</si>
  <si>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</si>
  <si>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</si>
  <si>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</si>
  <si>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</si>
  <si>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</si>
  <si>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</si>
  <si>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</si>
  <si>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</si>
  <si>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</si>
  <si>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</si>
  <si>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</si>
  <si>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</si>
  <si>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</si>
  <si>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</si>
  <si>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</si>
  <si>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</si>
  <si>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</si>
  <si>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</si>
  <si>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</si>
  <si>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</si>
  <si>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</si>
  <si>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</si>
  <si>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</si>
  <si>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</si>
  <si>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</si>
  <si>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</si>
  <si>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</si>
  <si>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</si>
  <si>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</si>
  <si>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</si>
  <si>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</si>
  <si>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</si>
  <si>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</si>
  <si>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</si>
  <si>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</si>
  <si>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</si>
  <si>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</si>
  <si>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</si>
  <si>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</si>
  <si>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</si>
  <si>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</si>
  <si>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</si>
  <si>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</si>
  <si>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</si>
  <si>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</si>
  <si>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</si>
  <si>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</si>
  <si>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</si>
  <si>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</si>
  <si>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</si>
  <si>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</si>
  <si>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</si>
  <si>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</si>
  <si>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</si>
  <si>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</si>
  <si>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</si>
  <si>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</si>
  <si>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</si>
  <si>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</si>
  <si>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</si>
  <si>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</si>
  <si>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</si>
  <si>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</si>
  <si>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</si>
  <si>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</si>
  <si>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</si>
  <si>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</si>
  <si>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</si>
  <si>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</si>
  <si>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</si>
  <si>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</si>
  <si>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</si>
  <si>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</si>
  <si>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</si>
  <si>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</si>
  <si>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</si>
  <si>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</si>
  <si>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</si>
  <si>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</si>
  <si>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</si>
  <si>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</si>
  <si>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</si>
  <si>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</si>
  <si>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</si>
  <si>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</si>
  <si>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</si>
  <si>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</si>
  <si>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</si>
  <si>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</si>
  <si>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</si>
  <si>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</si>
  <si>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</si>
  <si>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</si>
  <si>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</si>
  <si>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</si>
  <si>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</si>
  <si>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</si>
  <si>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</si>
  <si>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</si>
  <si>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</si>
  <si>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</si>
  <si>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</si>
  <si>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</si>
  <si>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</si>
  <si>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</si>
  <si>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</si>
  <si>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</si>
  <si>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</si>
  <si>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</si>
  <si>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</si>
  <si>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</si>
  <si>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</si>
  <si>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</si>
  <si>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</si>
  <si>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</si>
  <si>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</si>
  <si>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</si>
  <si>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</si>
  <si>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</si>
  <si>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</si>
  <si>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</si>
  <si>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</si>
  <si>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</si>
  <si>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</si>
  <si>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</si>
  <si>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</si>
  <si>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</si>
  <si>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</si>
  <si>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</si>
  <si>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</si>
  <si>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</si>
  <si>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</si>
  <si>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</si>
  <si>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</si>
  <si>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</si>
  <si>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</si>
  <si>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</si>
  <si>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</si>
  <si>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</si>
  <si>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</si>
  <si>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</si>
  <si>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</si>
  <si>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</si>
  <si>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</si>
  <si>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</si>
  <si>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</si>
  <si>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</si>
  <si>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</si>
  <si>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</si>
  <si>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</si>
  <si>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</si>
  <si>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</si>
  <si>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</si>
  <si>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</si>
  <si>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</si>
  <si>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</si>
  <si>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</si>
  <si>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</si>
  <si>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</si>
  <si>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</si>
  <si>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</si>
  <si>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</si>
  <si>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</si>
  <si>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</si>
  <si>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</si>
  <si>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</si>
  <si>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</si>
  <si>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</si>
  <si>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</si>
  <si>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</si>
  <si>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</si>
  <si>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</si>
  <si>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</si>
  <si>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</si>
  <si>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</si>
  <si>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</si>
  <si>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</si>
  <si>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</si>
  <si>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</si>
  <si>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</si>
  <si>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</si>
  <si>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</si>
  <si>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</si>
  <si>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</si>
  <si>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</si>
  <si>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</si>
  <si>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</si>
  <si>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</si>
  <si>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</si>
  <si>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</si>
  <si>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</si>
  <si>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</si>
  <si>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</si>
  <si>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</si>
  <si>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</si>
  <si>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</si>
  <si>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</si>
  <si>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</si>
  <si>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</si>
  <si>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</si>
  <si>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</si>
  <si>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</si>
  <si>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</si>
  <si>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</si>
  <si>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</si>
  <si>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</si>
  <si>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</si>
  <si>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</si>
  <si>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</si>
  <si>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</si>
  <si>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</si>
  <si>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</si>
  <si>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</si>
  <si>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</si>
  <si>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</si>
  <si>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</si>
  <si>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</si>
  <si>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</si>
  <si>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</si>
  <si>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</si>
  <si>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</si>
  <si>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</si>
  <si>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</si>
  <si>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</si>
  <si>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</si>
  <si>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</si>
  <si>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</si>
  <si>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</si>
  <si>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</si>
  <si>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</si>
  <si>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</si>
  <si>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</si>
  <si>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</si>
  <si>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</si>
  <si>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</si>
  <si>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</si>
  <si>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</si>
  <si>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</si>
  <si>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</si>
  <si>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</si>
  <si>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</si>
  <si>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</si>
  <si>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</si>
  <si>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</si>
  <si>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</si>
  <si>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</si>
  <si>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</si>
  <si>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</si>
  <si>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</si>
  <si>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</si>
  <si>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</si>
  <si>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</si>
  <si>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</si>
  <si>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</si>
  <si>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</si>
  <si>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</si>
  <si>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</si>
  <si>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</si>
  <si>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</si>
  <si>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</si>
  <si>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</si>
  <si>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</si>
  <si>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</si>
  <si>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</si>
  <si>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</si>
  <si>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</si>
  <si>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</si>
  <si>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</si>
  <si>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</si>
  <si>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</si>
  <si>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</si>
  <si>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</si>
  <si>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</si>
  <si>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</si>
  <si>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</si>
  <si>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</si>
  <si>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</si>
  <si>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</si>
  <si>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</si>
  <si>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</si>
  <si>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</si>
  <si>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</si>
  <si>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</si>
  <si>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</si>
  <si>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</si>
  <si>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</si>
  <si>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</si>
  <si>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</si>
  <si>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</si>
  <si>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</si>
  <si>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</si>
  <si>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</si>
  <si>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</si>
  <si>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</si>
  <si>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</si>
  <si>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</si>
  <si>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</si>
  <si>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</si>
  <si>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</si>
  <si>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</si>
  <si>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</si>
  <si>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</si>
  <si>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</si>
  <si>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</si>
  <si>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</si>
  <si>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</si>
  <si>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</si>
  <si>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</si>
  <si>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</si>
  <si>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</si>
  <si>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</si>
  <si>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</si>
  <si>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</si>
  <si>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</si>
  <si>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</si>
  <si>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</si>
  <si>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</si>
  <si>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</si>
  <si>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</si>
  <si>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</si>
  <si>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</si>
  <si>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</si>
  <si>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</si>
  <si>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</si>
  <si>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</si>
  <si>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</si>
  <si>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</si>
  <si>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</si>
  <si>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</si>
  <si>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</si>
  <si>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</si>
  <si>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</si>
  <si>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</si>
  <si>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</si>
  <si>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</si>
  <si>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</si>
  <si>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</si>
  <si>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</si>
  <si>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</si>
  <si>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</si>
  <si>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</si>
  <si>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</si>
  <si>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</si>
  <si>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</si>
  <si>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</si>
  <si>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</si>
  <si>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</si>
  <si>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</si>
  <si>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</si>
  <si>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</si>
  <si>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</si>
  <si>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</si>
  <si>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</si>
  <si>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</si>
  <si>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</si>
  <si>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</si>
  <si>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</si>
  <si>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</si>
  <si>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</si>
  <si>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</si>
  <si>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</si>
  <si>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</si>
  <si>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</si>
  <si>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</si>
  <si>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</si>
  <si>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</si>
  <si>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</si>
  <si>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</si>
  <si>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</si>
  <si>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</si>
  <si>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</si>
  <si>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</si>
  <si>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</si>
  <si>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</si>
  <si>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</si>
  <si>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</si>
  <si>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</si>
  <si>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</si>
  <si>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</si>
  <si>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</si>
  <si>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</si>
  <si>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</si>
  <si>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</si>
  <si>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</si>
  <si>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</si>
  <si>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</si>
  <si>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</si>
  <si>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</si>
  <si>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</si>
  <si>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</si>
  <si>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</si>
  <si>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</si>
  <si>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</si>
  <si>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</si>
  <si>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</si>
  <si>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</si>
  <si>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</si>
  <si>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</si>
  <si>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</si>
  <si>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</si>
  <si>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</si>
  <si>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</si>
  <si>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</si>
  <si>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</si>
  <si>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</si>
  <si>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</si>
  <si>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</si>
  <si>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</si>
  <si>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</si>
  <si>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</si>
  <si>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</si>
  <si>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</si>
  <si>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</si>
  <si>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</si>
  <si>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</si>
  <si>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</si>
  <si>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</si>
  <si>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</si>
  <si>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</si>
  <si>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</si>
  <si>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</si>
  <si>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</si>
  <si>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</si>
  <si>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</si>
  <si>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</si>
  <si>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</si>
  <si>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</si>
  <si>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</si>
  <si>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</si>
  <si>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</si>
  <si>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</si>
  <si>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</si>
  <si>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</si>
  <si>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</si>
  <si>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</si>
  <si>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</si>
  <si>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</si>
  <si>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</si>
  <si>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</si>
  <si>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</si>
  <si>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</si>
  <si>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</si>
  <si>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</si>
  <si>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</si>
  <si>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</si>
  <si>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</si>
  <si>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</si>
  <si>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</si>
  <si>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</si>
  <si>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</si>
  <si>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</si>
  <si>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</si>
  <si>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</si>
  <si>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</si>
  <si>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</si>
  <si>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</si>
  <si>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</si>
  <si>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</si>
  <si>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</si>
  <si>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</si>
  <si>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</si>
  <si>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</si>
  <si>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</si>
  <si>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</si>
  <si>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</si>
  <si>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</si>
  <si>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</si>
  <si>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</si>
  <si>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</si>
  <si>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</si>
  <si>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</si>
  <si>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</si>
  <si>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</si>
  <si>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</si>
  <si>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</si>
  <si>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</si>
  <si>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</si>
  <si>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</si>
  <si>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</si>
  <si>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</si>
  <si>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</si>
  <si>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</si>
  <si>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</si>
  <si>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</si>
  <si>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</si>
  <si>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</si>
  <si>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</si>
  <si>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</si>
  <si>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</si>
  <si>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</si>
  <si>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</si>
  <si>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</si>
  <si>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</si>
  <si>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</si>
  <si>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</si>
  <si>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</si>
  <si>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</si>
  <si>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</si>
  <si>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</si>
  <si>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</si>
  <si>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</si>
  <si>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</si>
  <si>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</si>
  <si>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</si>
  <si>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</si>
  <si>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</si>
  <si>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</si>
  <si>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</si>
  <si>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</si>
  <si>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</si>
  <si>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</si>
  <si>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</si>
  <si>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</si>
  <si>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</si>
  <si>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</si>
  <si>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</si>
  <si>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</si>
  <si>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</si>
  <si>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</si>
  <si>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</si>
  <si>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</si>
  <si>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</si>
  <si>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</si>
  <si>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</si>
  <si>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</si>
  <si>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</si>
  <si>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</si>
  <si>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</si>
  <si>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</si>
  <si>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</si>
  <si>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</si>
  <si>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</si>
  <si>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</si>
  <si>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</si>
  <si>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</si>
  <si>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</si>
  <si>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</si>
  <si>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</si>
  <si>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</si>
  <si>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</si>
  <si>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</si>
  <si>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</si>
  <si>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</si>
  <si>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</si>
  <si>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</si>
  <si>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</si>
  <si>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</si>
  <si>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</si>
  <si>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</si>
  <si>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</si>
  <si>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</si>
  <si>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</si>
  <si>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</si>
  <si>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</si>
  <si>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</si>
  <si>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</si>
  <si>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</si>
  <si>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</si>
  <si>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</si>
  <si>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</si>
  <si>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</si>
  <si>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</si>
  <si>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</si>
  <si>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</si>
  <si>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</si>
  <si>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</si>
  <si>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</si>
  <si>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</si>
  <si>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</si>
  <si>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</si>
  <si>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</si>
  <si>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</si>
  <si>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</si>
  <si>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</si>
  <si>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</si>
  <si>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</si>
  <si>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</si>
  <si>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</si>
  <si>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</si>
  <si>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</si>
  <si>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</si>
  <si>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</si>
  <si>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</si>
  <si>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</si>
  <si>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</si>
  <si>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</si>
  <si>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</si>
  <si>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</si>
  <si>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</si>
  <si>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</si>
  <si>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</si>
  <si>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</si>
  <si>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</si>
  <si>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</si>
  <si>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</si>
  <si>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</si>
  <si>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</si>
  <si>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</si>
  <si>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</si>
  <si>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</si>
  <si>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</si>
  <si>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</si>
  <si>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</si>
  <si>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</si>
  <si>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</si>
  <si>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</si>
  <si>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</si>
  <si>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</si>
  <si>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</si>
  <si>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</si>
  <si>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</si>
  <si>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</si>
  <si>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</si>
  <si>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</si>
  <si>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</si>
  <si>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</si>
  <si>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</si>
  <si>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</si>
  <si>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</si>
  <si>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</si>
  <si>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</si>
  <si>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</si>
  <si>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</si>
  <si>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</si>
  <si>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</si>
  <si>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</si>
  <si>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</si>
  <si>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</si>
  <si>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</si>
  <si>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</si>
  <si>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</si>
  <si>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</si>
  <si>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</si>
  <si>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</si>
  <si>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</si>
  <si>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</si>
  <si>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</si>
  <si>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</si>
  <si>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</si>
  <si>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</si>
  <si>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</si>
  <si>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</si>
  <si>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</si>
  <si>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</si>
  <si>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</si>
  <si>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</si>
  <si>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</si>
  <si>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</si>
  <si>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</si>
  <si>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</si>
  <si>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</si>
  <si>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</si>
  <si>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</si>
  <si>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</si>
  <si>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</si>
  <si>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</si>
  <si>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</si>
  <si>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</si>
  <si>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</si>
  <si>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</si>
  <si>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</si>
  <si>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</si>
  <si>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</si>
  <si>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</si>
  <si>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</si>
  <si>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</si>
  <si>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</si>
  <si>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</si>
  <si>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</si>
  <si>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</si>
  <si>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</si>
  <si>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</si>
  <si>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</si>
  <si>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</si>
  <si>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</si>
  <si>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</si>
  <si>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</si>
  <si>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</si>
  <si>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</si>
  <si>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</si>
  <si>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</si>
  <si>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</si>
  <si>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</si>
  <si>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</si>
  <si>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</si>
  <si>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</si>
  <si>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</si>
  <si>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</si>
  <si>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</si>
  <si>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</si>
  <si>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</si>
  <si>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</si>
  <si>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</si>
  <si>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</si>
  <si>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</si>
  <si>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</si>
  <si>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</si>
  <si>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</si>
  <si>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</si>
  <si>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</si>
  <si>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</si>
  <si>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</si>
  <si>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</si>
  <si>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</si>
  <si>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</si>
  <si>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</si>
  <si>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</si>
  <si>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</si>
  <si>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</si>
  <si>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</si>
  <si>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</si>
  <si>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</si>
  <si>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</si>
  <si>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</si>
  <si>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</si>
  <si>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</si>
  <si>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</si>
  <si>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</si>
  <si>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</si>
  <si>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</si>
  <si>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</si>
  <si>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</si>
  <si>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</si>
  <si>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</si>
  <si>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</si>
  <si>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</si>
  <si>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</si>
  <si>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</si>
  <si>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</si>
  <si>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</si>
  <si>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</si>
  <si>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</si>
  <si>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</si>
  <si>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</si>
  <si>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</si>
  <si>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</si>
  <si>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</si>
  <si>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</si>
  <si>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</si>
  <si>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</si>
  <si>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</si>
  <si>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</si>
  <si>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</si>
  <si>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</si>
  <si>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</si>
  <si>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</si>
  <si>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</si>
  <si>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</si>
  <si>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</si>
  <si>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</si>
  <si>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</si>
  <si>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</si>
  <si>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</si>
  <si>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</si>
  <si>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</si>
  <si>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</si>
  <si>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</si>
  <si>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</si>
  <si>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</si>
  <si>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</si>
  <si>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</si>
  <si>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</si>
  <si>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</si>
  <si>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</si>
  <si>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</si>
  <si>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</si>
  <si>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</si>
  <si>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</si>
  <si>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</si>
  <si>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</si>
  <si>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</si>
  <si>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</si>
  <si>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</si>
  <si>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</si>
  <si>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</si>
  <si>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</si>
  <si>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</si>
  <si>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</si>
  <si>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</si>
  <si>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</si>
  <si>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</si>
  <si>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</si>
  <si>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</si>
  <si>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</si>
  <si>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</si>
  <si>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</si>
  <si>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</si>
  <si>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</si>
  <si>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</si>
  <si>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</si>
  <si>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</si>
  <si>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</si>
  <si>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</si>
  <si>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</si>
  <si>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</si>
  <si>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</si>
  <si>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</si>
  <si>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</si>
  <si>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</si>
  <si>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</si>
  <si>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</si>
  <si>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</si>
  <si>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</si>
  <si>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</si>
  <si>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</si>
  <si>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</si>
  <si>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</si>
  <si>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</si>
  <si>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</si>
  <si>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</si>
  <si>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</si>
  <si>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</si>
  <si>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</si>
  <si>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</si>
  <si>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</si>
  <si>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</si>
  <si>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</si>
  <si>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</si>
  <si>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</si>
  <si>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</si>
  <si>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</si>
  <si>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</si>
  <si>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</si>
  <si>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</si>
  <si>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</si>
  <si>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</si>
  <si>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</si>
  <si>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</si>
  <si>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</si>
  <si>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</si>
  <si>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</si>
  <si>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</si>
  <si>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</si>
  <si>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</si>
  <si>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</si>
  <si>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</si>
  <si>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</si>
  <si>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</si>
  <si>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</si>
  <si>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</si>
  <si>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</si>
  <si>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</si>
  <si>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</si>
  <si>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</si>
  <si>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</si>
  <si>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</si>
  <si>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</si>
  <si>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</si>
  <si>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</si>
  <si>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</si>
  <si>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</si>
  <si>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</si>
  <si>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</si>
  <si>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</si>
  <si>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</si>
  <si>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</si>
  <si>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</si>
  <si>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</si>
  <si>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</si>
  <si>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</si>
  <si>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</si>
  <si>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</si>
  <si>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</si>
  <si>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</si>
  <si>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</si>
  <si>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</si>
  <si>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</si>
  <si>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</si>
  <si>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</si>
  <si>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</si>
  <si>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</si>
  <si>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</si>
  <si>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</si>
  <si>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</si>
  <si>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</si>
  <si>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</si>
  <si>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</si>
  <si>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</si>
  <si>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</si>
  <si>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</si>
  <si>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</si>
  <si>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</si>
  <si>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</si>
  <si>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</si>
  <si>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</si>
  <si>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</si>
  <si>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</si>
  <si>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</si>
  <si>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</si>
  <si>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</si>
  <si>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</si>
  <si>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</si>
  <si>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</si>
  <si>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</si>
  <si>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</si>
  <si>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</si>
  <si>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</si>
  <si>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</si>
  <si>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</si>
  <si>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</si>
  <si>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</si>
  <si>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</si>
  <si>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</si>
  <si>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</si>
  <si>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</si>
  <si>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</si>
  <si>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</si>
  <si>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</si>
  <si>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</si>
  <si>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</si>
  <si>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</si>
  <si>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</si>
  <si>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</si>
  <si>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</si>
  <si>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</si>
  <si>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</si>
  <si>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</si>
  <si>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</si>
  <si>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</si>
  <si>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</si>
  <si>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</si>
  <si>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</si>
  <si>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</si>
  <si>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</si>
  <si>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</si>
  <si>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</si>
  <si>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</si>
  <si>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</si>
  <si>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</si>
  <si>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</si>
  <si>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</si>
  <si>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</si>
  <si>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</si>
  <si>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</si>
  <si>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</si>
  <si>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</si>
  <si>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</si>
  <si>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</si>
  <si>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</si>
  <si>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</si>
  <si>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</si>
  <si>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</si>
  <si>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</si>
  <si>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</si>
  <si>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</si>
  <si>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</si>
  <si>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</si>
  <si>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</si>
  <si>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</si>
  <si>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</si>
  <si>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</si>
  <si>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</si>
  <si>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</si>
  <si>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</si>
  <si>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</si>
  <si>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</si>
  <si>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</si>
  <si>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</si>
  <si>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</si>
  <si>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</si>
  <si>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</si>
  <si>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</si>
  <si>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</si>
  <si>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</si>
  <si>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</si>
  <si>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</si>
  <si>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</si>
  <si>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</si>
  <si>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</si>
  <si>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</si>
  <si>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</si>
  <si>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</si>
  <si>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</si>
  <si>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</si>
  <si>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</si>
  <si>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</si>
  <si>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</si>
  <si>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</si>
  <si>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</si>
  <si>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</si>
  <si>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</si>
  <si>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</si>
  <si>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</si>
  <si>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</si>
  <si>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</si>
  <si>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</si>
  <si>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</si>
  <si>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</si>
  <si>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</si>
  <si>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</si>
  <si>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</si>
  <si>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</si>
  <si>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</si>
  <si>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</si>
  <si>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</si>
  <si>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</si>
  <si>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</si>
  <si>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</si>
  <si>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</si>
  <si>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</si>
  <si>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</si>
  <si>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</si>
  <si>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</si>
  <si>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</si>
  <si>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</si>
  <si>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</si>
  <si>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</si>
  <si>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</si>
  <si>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</si>
  <si>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</si>
  <si>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</si>
  <si>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</si>
  <si>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</si>
  <si>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</si>
  <si>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</si>
  <si>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</si>
  <si>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</si>
  <si>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</si>
  <si>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</si>
  <si>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</si>
  <si>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</si>
  <si>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</si>
  <si>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</si>
  <si>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</si>
  <si>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</si>
  <si>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</si>
  <si>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</si>
  <si>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</si>
  <si>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</si>
  <si>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</si>
  <si>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</si>
  <si>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</si>
  <si>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</si>
  <si>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</si>
  <si>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</si>
  <si>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</si>
  <si>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</si>
  <si>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</si>
  <si>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</si>
  <si>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</si>
  <si>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</si>
  <si>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</si>
  <si>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</si>
  <si>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</si>
  <si>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</si>
  <si>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</si>
  <si>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</si>
  <si>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</si>
  <si>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</si>
  <si>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</si>
  <si>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</si>
  <si>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</si>
  <si>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</si>
  <si>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</si>
  <si>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</si>
  <si>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</si>
  <si>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</si>
  <si>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</si>
  <si>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</si>
  <si>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</si>
  <si>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</si>
  <si>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</si>
  <si>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</si>
  <si>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</si>
  <si>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</si>
  <si>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</si>
  <si>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</si>
  <si>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</si>
  <si>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</si>
  <si>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</si>
  <si>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</si>
  <si>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</si>
  <si>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</si>
  <si>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</si>
  <si>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</si>
  <si>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</si>
  <si>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</si>
  <si>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</si>
  <si>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</si>
  <si>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</si>
  <si>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</si>
  <si>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</si>
  <si>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</si>
  <si>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</si>
  <si>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</si>
  <si>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</si>
  <si>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</si>
  <si>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</si>
  <si>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</si>
  <si>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</si>
  <si>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</si>
  <si>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</si>
  <si>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</si>
  <si>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</si>
  <si>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</si>
  <si>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</si>
  <si>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</si>
  <si>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</si>
  <si>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</si>
  <si>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</si>
  <si>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</si>
  <si>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</si>
  <si>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</si>
  <si>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</si>
  <si>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</si>
  <si>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</si>
  <si>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</si>
  <si>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</si>
  <si>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</si>
  <si>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</si>
  <si>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</si>
  <si>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</si>
  <si>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</si>
  <si>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</si>
  <si>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</si>
  <si>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</si>
  <si>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</si>
  <si>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</si>
  <si>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</si>
  <si>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</si>
  <si>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</si>
  <si>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</si>
  <si>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</si>
  <si>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</si>
  <si>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</si>
  <si>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</si>
  <si>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</si>
  <si>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</si>
  <si>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</si>
  <si>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</si>
  <si>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</si>
  <si>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</si>
  <si>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</si>
  <si>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</si>
  <si>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</si>
  <si>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</si>
  <si>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</si>
  <si>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</si>
  <si>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</si>
  <si>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</si>
  <si>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</si>
  <si>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</si>
  <si>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</si>
  <si>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</si>
  <si>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</si>
  <si>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</si>
  <si>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</si>
  <si>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</si>
  <si>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</si>
  <si>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</si>
  <si>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</si>
  <si>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</si>
  <si>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</si>
  <si>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</si>
  <si>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</si>
  <si>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</si>
  <si>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</si>
  <si>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</si>
  <si>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</si>
  <si>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</si>
  <si>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</si>
  <si>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</si>
  <si>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</si>
  <si>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</si>
  <si>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</si>
  <si>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</si>
  <si>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</si>
  <si>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</si>
  <si>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</si>
  <si>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</si>
  <si>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</si>
  <si>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</si>
  <si>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</si>
  <si>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</si>
  <si>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</si>
  <si>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</si>
  <si>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</si>
  <si>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</si>
  <si>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</si>
  <si>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</si>
  <si>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</si>
  <si>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</si>
  <si>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</si>
  <si>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</si>
  <si>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</si>
  <si>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</si>
  <si>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</si>
  <si>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</si>
  <si>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</si>
  <si>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</si>
  <si>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</si>
  <si>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</si>
  <si>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</si>
  <si>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</si>
  <si>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</si>
  <si>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</si>
  <si>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</si>
  <si>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</si>
  <si>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</si>
  <si>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</si>
  <si>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</si>
  <si>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</si>
  <si>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</si>
  <si>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</si>
  <si>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</si>
  <si>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</si>
  <si>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</si>
  <si>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</si>
  <si>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</si>
  <si>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</si>
  <si>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</si>
  <si>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</si>
  <si>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</si>
  <si>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</si>
  <si>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</si>
  <si>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</si>
  <si>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</si>
  <si>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</si>
  <si>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</si>
  <si>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</si>
  <si>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</si>
  <si>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</si>
  <si>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</si>
  <si>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</si>
  <si>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</si>
  <si>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</si>
  <si>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</si>
  <si>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</si>
  <si>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</si>
  <si>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</si>
  <si>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</si>
  <si>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</si>
  <si>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</si>
  <si>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</si>
  <si>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</si>
  <si>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</si>
  <si>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</si>
  <si>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</si>
  <si>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</si>
  <si>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</si>
  <si>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</si>
  <si>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</si>
  <si>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</si>
  <si>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</si>
  <si>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</si>
  <si>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</si>
  <si>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</si>
  <si>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</si>
  <si>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</si>
  <si>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</si>
  <si>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</si>
  <si>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</si>
  <si>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</si>
  <si>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</si>
  <si>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</si>
  <si>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</si>
  <si>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</si>
  <si>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</si>
  <si>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</si>
  <si>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</si>
  <si>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</si>
  <si>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</si>
  <si>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</si>
  <si>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</si>
  <si>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</si>
  <si>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</si>
  <si>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</si>
  <si>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Resistor_68_1_2512</t>
  </si>
  <si>
    <t>Resistor_33_1_2512</t>
  </si>
  <si>
    <t>SMA4007</t>
  </si>
  <si>
    <t>https://static.chipdip.ru/lib/867/DOC050867185.pdf</t>
  </si>
  <si>
    <t>Capacitor_1u_10_25V_X7R_0603C</t>
  </si>
  <si>
    <t>Resistor_47_1_0805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</si>
  <si>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</si>
  <si>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</si>
  <si>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</si>
  <si>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</si>
  <si>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</si>
  <si>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</si>
  <si>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</si>
  <si>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</si>
  <si>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</si>
  <si>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</si>
  <si>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</si>
  <si>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</si>
  <si>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</si>
  <si>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</si>
  <si>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</si>
  <si>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</si>
  <si>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</si>
  <si>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</si>
  <si>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</si>
  <si>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</si>
  <si>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</si>
  <si>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</si>
  <si>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</si>
  <si>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</si>
  <si>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</si>
  <si>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</si>
  <si>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</si>
  <si>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</si>
  <si>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Resistor_1k_0805</t>
  </si>
  <si>
    <t>Резистор номиналом 1 кОм 1%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</si>
  <si>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</si>
  <si>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</si>
  <si>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</si>
  <si>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</si>
  <si>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</si>
  <si>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</si>
  <si>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Resistor_0_5_0603</t>
  </si>
  <si>
    <t>Резистор номиналом 0 Ом 5%</t>
  </si>
  <si>
    <t>0</t>
  </si>
  <si>
    <t>MF-FSMF010X-2</t>
  </si>
  <si>
    <t>Предохранитель самовосстанавливающийся 0,1А 15В</t>
  </si>
  <si>
    <t>gidrogleb</t>
  </si>
  <si>
    <t>ADR02BUJZ</t>
  </si>
  <si>
    <t>Источник опорного напряжения, 5В</t>
  </si>
  <si>
    <t>ADS1220IPWR</t>
  </si>
  <si>
    <t>24-Бит Sigma-Delta аналого-цифровой преобразователь</t>
  </si>
  <si>
    <t>Low-Power, Low-Noise, 24-Bit, ADC for Small-Signal Sensors (Rev. B)</t>
  </si>
  <si>
    <t>AP63203WU-7</t>
  </si>
  <si>
    <t>DC-DC Преобразователь</t>
  </si>
  <si>
    <t>TSOT23-6</t>
  </si>
  <si>
    <t>AP63200/AP63201/AP63203/AP63205</t>
  </si>
  <si>
    <t>MAX3051EKA+T</t>
  </si>
  <si>
    <t>SOT-23-8</t>
  </si>
  <si>
    <t>MAX3051 - +3.3V, 1Mbps, Low-Supply-Current CAN Transceiver</t>
  </si>
  <si>
    <t>Vouka06</t>
  </si>
  <si>
    <t>Vouka05</t>
  </si>
  <si>
    <t>ADR01/ADR02/ADR03/ADR06 (Rev. S)</t>
  </si>
  <si>
    <t>CAN трансивер 1Mbps +3.3В</t>
  </si>
  <si>
    <t>Picoblade 3-pin разъем</t>
  </si>
  <si>
    <t>CONN_532610001-SD_03_MOL</t>
  </si>
  <si>
    <t>Столбец1</t>
  </si>
  <si>
    <t>Picoblade_532610371</t>
  </si>
  <si>
    <t>53398-0471</t>
  </si>
  <si>
    <t>53398-0471, Разъем PicoBlade 1.25 мм, 4pin, штыревой , на плату – купить оптом и в розницу</t>
  </si>
  <si>
    <t>Разъем PicoBlade 1.25 мм, 4pin</t>
  </si>
  <si>
    <t>PicoBlade_53398-0471</t>
  </si>
  <si>
    <t>REF195ESZ</t>
  </si>
  <si>
    <t>Источник опорного напряжения с низким падением напряжения, микромощный, 5В</t>
  </si>
  <si>
    <t>REF195ESZ-REEL, Источник опорного напряжения с низким падением напряжения, микромощный, 5В [SO-8] – купить оптом и в розницу</t>
  </si>
  <si>
    <t>AP63201QWU-7</t>
  </si>
  <si>
    <t>Понижающий импульсный регулятор IC с положительной регулировкой 0,8 В 1 Выxод 2A SOT-23-6 Тонкий</t>
  </si>
  <si>
    <t>https://www.chipdip.ru/product/ap63201qwu-7-ic-pmic-dc-dc-converter-uin-3.8-32vdc-diodes-8041298960</t>
  </si>
  <si>
    <t>MLZ1608M100WT000</t>
  </si>
  <si>
    <t>10мкГн, 0603,20%, Индуктивность SMD</t>
  </si>
  <si>
    <t>MLZ1608M100WT000, 10мкГн, 0603,20%, Индуктивность SMD – купить оптом и в розницу</t>
  </si>
  <si>
    <t>10мк</t>
  </si>
  <si>
    <t>GRM1885C1H560J</t>
  </si>
  <si>
    <t>56 п</t>
  </si>
  <si>
    <t>0,056</t>
  </si>
  <si>
    <t>DOC000235066.pdf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</si>
</sst>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1C2D3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  <xf numFmtId="0" fontId="0" fillId="0" borderId="0" xfId="0" applyNumberFormat="1" applyBorder="1"/>
    <xf numFmtId="49" fontId="0" fillId="0" borderId="0" xfId="0" applyNumberFormat="1" applyBorder="1"/>
    <xf numFmtId="0" fontId="0" fillId="0" borderId="8" xfId="0" applyNumberFormat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49" fontId="10" fillId="0" borderId="0" xfId="1" applyNumberFormat="1" applyBorder="1"/>
    <xf numFmtId="0" fontId="0" fillId="3" borderId="4" xfId="0" applyFont="1" applyFill="1" applyBorder="1"/>
    <xf numFmtId="0" fontId="0" fillId="0" borderId="0" xfId="0" applyBorder="1"/>
    <xf numFmtId="0" fontId="0" fillId="3" borderId="8" xfId="0" applyFont="1" applyFill="1" applyBorder="1"/>
    <xf numFmtId="0" fontId="0" fillId="3" borderId="6" xfId="0" applyFont="1" applyFill="1" applyBorder="1"/>
    <xf numFmtId="9" fontId="4" fillId="0" borderId="0" xfId="0" applyNumberFormat="1" applyFont="1" applyBorder="1" applyAlignment="1">
      <alignment horizontal="right"/>
    </xf>
    <xf numFmtId="0" fontId="13" fillId="0" borderId="0" xfId="0" applyFont="1"/>
    <xf numFmtId="0" fontId="14" fillId="0" borderId="0" xfId="0" applyFont="1"/>
    <xf numFmtId="0" fontId="0" fillId="0" borderId="0" xfId="0" applyAlignment="1">
      <alignment horizontal="left" vertical="top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69" tableType="xml" totalsRowShown="0" headerRowDxfId="146" connectionId="6">
  <autoFilter ref="A1:M69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0" tableType="xml" totalsRowShown="0" headerRowDxfId="127" connectionId="18">
  <autoFilter ref="A1:M20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90" tableType="xml" totalsRowShown="0" headerRowDxfId="120" dataDxfId="119" connectionId="14">
  <autoFilter ref="A1:O190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8" tableType="xml" totalsRowShown="0" headerRowDxfId="66" headerRowBorderDxfId="65" tableBorderDxfId="64" connectionId="2">
  <autoFilter ref="A1:N58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1" tableType="xml" totalsRowShown="0" headerRowDxfId="46" connectionId="9">
  <autoFilter ref="A1:R3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6" tableType="xml" totalsRowShown="0" headerRowDxfId="21" dataDxfId="20" connectionId="11">
  <autoFilter ref="A1:P26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M69" tableType="xml" totalsRowShown="0" headerRowDxfId="3" connectionId="7">
  <autoFilter ref="A1:M69" xr:uid="{1A41BD32-B698-4872-A86C-4CAC56B9AD83}"/>
  <tableColumns count="13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  <tableColumn id="13" xr3:uid="{DD01B920-6069-4E08-AC5A-FC26EB0FD1D9}" uniqueName="13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hyperlink" Target="https://static.chipdip.ru/lib/876/DOC015876362.pdf" TargetMode="External"/><Relationship Id="rId18" Type="http://schemas.openxmlformats.org/officeDocument/2006/relationships/table" Target="../tables/table1.xml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527/DOC021527022.pdf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cdn.promelec.ru/upload/datasheet/6/4/CD00284753.pdf" TargetMode="External"/><Relationship Id="rId16" Type="http://schemas.openxmlformats.org/officeDocument/2006/relationships/hyperlink" Target="https://www.chipdip.ru/product/ap63201qwu-7-ic-pmic-dc-dc-converter-uin-3.8-32vdc-diodes-8041298960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404/DOC001404089.pdf" TargetMode="External"/><Relationship Id="rId5" Type="http://schemas.openxmlformats.org/officeDocument/2006/relationships/hyperlink" Target="https://static.chipdip.ru/lib/442/DOC011442004.pdf" TargetMode="External"/><Relationship Id="rId15" Type="http://schemas.openxmlformats.org/officeDocument/2006/relationships/hyperlink" Target="https://www.chipdip.ru/product/ref195esz-reel-istochnik-opornogo-analog-devices-2921641864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hyperlink" Target="https://static.chipdip.ru/lib/517/DOC011517353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static.chipdip.ru/lib/235/DOC000235066.pdf" TargetMode="External"/><Relationship Id="rId1" Type="http://schemas.openxmlformats.org/officeDocument/2006/relationships/hyperlink" Target="https://static.chipdip.ru/lib/893/DOC031893419.pdf" TargetMode="Externa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6" Type="http://schemas.openxmlformats.org/officeDocument/2006/relationships/table" Target="../tables/table11.x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www.chipdip.ru/product/mlz1608m100wt000-10mkgn-0603-20-induktivnost-smd-tdk-9000314841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TargetMode="Externa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10" Type="http://schemas.openxmlformats.org/officeDocument/2006/relationships/table" Target="../tables/table14.xm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69"/>
  <sheetViews>
    <sheetView topLeftCell="C29" zoomScale="85" zoomScaleNormal="85" workbookViewId="0">
      <selection activeCell="L72" sqref="L72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796</v>
      </c>
      <c r="I8" t="s">
        <v>795</v>
      </c>
      <c r="J8" t="s">
        <v>796</v>
      </c>
      <c r="K8" t="s">
        <v>862</v>
      </c>
      <c r="M8" t="s">
        <v>1425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1425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937</v>
      </c>
      <c r="M12" t="s">
        <v>1425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1192</v>
      </c>
      <c r="M13" t="s">
        <v>1425</v>
      </c>
    </row>
    <row r="14" spans="1:20" x14ac:dyDescent="0.3">
      <c r="A14" t="s">
        <v>327</v>
      </c>
      <c r="B14" t="s">
        <v>1519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1425</v>
      </c>
    </row>
    <row r="15" spans="1:20" x14ac:dyDescent="0.3">
      <c r="A15" t="s">
        <v>668</v>
      </c>
      <c r="B15" t="s">
        <v>669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1425</v>
      </c>
    </row>
    <row r="16" spans="1:20" x14ac:dyDescent="0.3">
      <c r="A16" t="s">
        <v>670</v>
      </c>
      <c r="B16" t="s">
        <v>671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672</v>
      </c>
      <c r="M16" t="s">
        <v>1425</v>
      </c>
    </row>
    <row r="17" spans="1:13" x14ac:dyDescent="0.3">
      <c r="A17" t="s">
        <v>673</v>
      </c>
      <c r="B17" t="s">
        <v>674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1425</v>
      </c>
    </row>
    <row r="18" spans="1:13" x14ac:dyDescent="0.3">
      <c r="A18" t="s">
        <v>694</v>
      </c>
      <c r="B18" t="s">
        <v>695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694</v>
      </c>
      <c r="M18" t="s">
        <v>1425</v>
      </c>
    </row>
    <row r="19" spans="1:13" x14ac:dyDescent="0.3">
      <c r="A19" t="s">
        <v>696</v>
      </c>
      <c r="B19" t="s">
        <v>697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698</v>
      </c>
      <c r="M19" t="s">
        <v>1425</v>
      </c>
    </row>
    <row r="20" spans="1:13" x14ac:dyDescent="0.3">
      <c r="A20" s="12" t="s">
        <v>699</v>
      </c>
      <c r="B20" t="s">
        <v>700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701</v>
      </c>
      <c r="M20" t="s">
        <v>1425</v>
      </c>
    </row>
    <row r="21" spans="1:13" x14ac:dyDescent="0.3">
      <c r="A21" t="s">
        <v>709</v>
      </c>
      <c r="B21" t="s">
        <v>710</v>
      </c>
      <c r="C21" s="2" t="s">
        <v>709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688</v>
      </c>
      <c r="M21" t="s">
        <v>1425</v>
      </c>
    </row>
    <row r="22" spans="1:13" x14ac:dyDescent="0.3">
      <c r="A22" t="s">
        <v>723</v>
      </c>
      <c r="B22" t="s">
        <v>724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722</v>
      </c>
      <c r="M22" t="s">
        <v>1425</v>
      </c>
    </row>
    <row r="23" spans="1:13" x14ac:dyDescent="0.3">
      <c r="A23" t="s">
        <v>727</v>
      </c>
      <c r="B23" t="s">
        <v>728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727</v>
      </c>
      <c r="M23" t="s">
        <v>1425</v>
      </c>
    </row>
    <row r="24" spans="1:13" x14ac:dyDescent="0.3">
      <c r="A24" t="s">
        <v>744</v>
      </c>
      <c r="B24" t="s">
        <v>746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1425</v>
      </c>
    </row>
    <row r="25" spans="1:13" x14ac:dyDescent="0.3">
      <c r="A25" t="s">
        <v>745</v>
      </c>
      <c r="B25" t="s">
        <v>747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1425</v>
      </c>
    </row>
    <row r="26" spans="1:13" x14ac:dyDescent="0.3">
      <c r="A26" t="s">
        <v>748</v>
      </c>
      <c r="B26" t="s">
        <v>749</v>
      </c>
      <c r="C26" s="2" t="s">
        <v>748</v>
      </c>
      <c r="D26" t="s">
        <v>750</v>
      </c>
      <c r="E26" t="s">
        <v>748</v>
      </c>
      <c r="F26" t="s">
        <v>751</v>
      </c>
      <c r="G26" t="s">
        <v>371</v>
      </c>
      <c r="M26" t="s">
        <v>1425</v>
      </c>
    </row>
    <row r="27" spans="1:13" x14ac:dyDescent="0.3">
      <c r="A27" t="s">
        <v>773</v>
      </c>
      <c r="B27" t="s">
        <v>774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1425</v>
      </c>
    </row>
    <row r="28" spans="1:13" x14ac:dyDescent="0.3">
      <c r="A28" t="s">
        <v>791</v>
      </c>
      <c r="B28" t="s">
        <v>792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794</v>
      </c>
      <c r="G28" t="s">
        <v>793</v>
      </c>
      <c r="H28" t="s">
        <v>794</v>
      </c>
      <c r="I28" t="s">
        <v>861</v>
      </c>
      <c r="M28" t="s">
        <v>1425</v>
      </c>
    </row>
    <row r="29" spans="1:13" x14ac:dyDescent="0.3">
      <c r="A29" t="s">
        <v>847</v>
      </c>
      <c r="B29" t="s">
        <v>848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847</v>
      </c>
    </row>
    <row r="30" spans="1:13" x14ac:dyDescent="0.3">
      <c r="A30" t="s">
        <v>849</v>
      </c>
      <c r="B30" t="s">
        <v>876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849</v>
      </c>
    </row>
    <row r="31" spans="1:13" x14ac:dyDescent="0.3">
      <c r="A31" t="s">
        <v>850</v>
      </c>
      <c r="B31" t="s">
        <v>875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851</v>
      </c>
    </row>
    <row r="32" spans="1:13" x14ac:dyDescent="0.3">
      <c r="A32" t="s">
        <v>871</v>
      </c>
      <c r="B32" t="s">
        <v>872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1425</v>
      </c>
    </row>
    <row r="33" spans="1:13" x14ac:dyDescent="0.3">
      <c r="A33" t="s">
        <v>873</v>
      </c>
      <c r="B33" t="s">
        <v>874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1425</v>
      </c>
    </row>
    <row r="34" spans="1:13" x14ac:dyDescent="0.3">
      <c r="A34" t="s">
        <v>890</v>
      </c>
      <c r="B34" t="s">
        <v>891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688</v>
      </c>
      <c r="M34" t="s">
        <v>1425</v>
      </c>
    </row>
    <row r="35" spans="1:13" x14ac:dyDescent="0.3">
      <c r="A35" t="s">
        <v>894</v>
      </c>
      <c r="B35" t="s">
        <v>892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893</v>
      </c>
      <c r="M35" t="s">
        <v>1425</v>
      </c>
    </row>
    <row r="36" spans="1:13" x14ac:dyDescent="0.3">
      <c r="A36" t="s">
        <v>901</v>
      </c>
      <c r="B36" t="s">
        <v>902</v>
      </c>
      <c r="C36" s="2" t="str">
        <f>A36</f>
        <v>LTV354T</v>
      </c>
      <c r="D36" t="str">
        <f>CONCATENATE("Schematic\",E36,".SchLib")</f>
        <v>Schematic\LTV354.SchLib</v>
      </c>
      <c r="E36" t="s">
        <v>900</v>
      </c>
      <c r="F36" t="str">
        <f>CONCATENATE("Footprints\",G36,".PcbLib")</f>
        <v>Footprints\SOP4-2_54.PcbLib</v>
      </c>
      <c r="G36" t="s">
        <v>903</v>
      </c>
      <c r="M36" t="s">
        <v>1425</v>
      </c>
    </row>
    <row r="37" spans="1:13" x14ac:dyDescent="0.3">
      <c r="A37" t="s">
        <v>936</v>
      </c>
      <c r="B37" t="s">
        <v>935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937</v>
      </c>
    </row>
    <row r="38" spans="1:13" x14ac:dyDescent="0.3">
      <c r="A38" t="s">
        <v>1026</v>
      </c>
      <c r="B38" t="s">
        <v>1027</v>
      </c>
      <c r="C38" s="2" t="str">
        <f t="shared" ref="C38" si="15">A38</f>
        <v>USB2514BM2</v>
      </c>
      <c r="D38" t="s">
        <v>1117</v>
      </c>
      <c r="E38" s="2" t="s">
        <v>1026</v>
      </c>
      <c r="F38" t="str">
        <f>CONCATENATE("Footprints\",G38,".PcbLib")</f>
        <v>Footprints\VFQFN-36.PcbLib</v>
      </c>
      <c r="G38" t="s">
        <v>1028</v>
      </c>
    </row>
    <row r="39" spans="1:13" x14ac:dyDescent="0.3">
      <c r="A39" t="s">
        <v>1029</v>
      </c>
      <c r="B39" t="s">
        <v>1030</v>
      </c>
      <c r="C39" s="2" t="s">
        <v>1029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1031</v>
      </c>
    </row>
    <row r="40" spans="1:13" x14ac:dyDescent="0.3">
      <c r="A40" t="s">
        <v>1032</v>
      </c>
      <c r="B40" t="s">
        <v>1186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1033</v>
      </c>
    </row>
    <row r="41" spans="1:13" x14ac:dyDescent="0.3">
      <c r="A41" t="s">
        <v>1034</v>
      </c>
      <c r="B41" t="s">
        <v>1185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1183</v>
      </c>
      <c r="L41" t="s">
        <v>1187</v>
      </c>
    </row>
    <row r="42" spans="1:13" x14ac:dyDescent="0.3">
      <c r="A42" t="s">
        <v>1035</v>
      </c>
      <c r="B42" t="s">
        <v>1036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1037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1076</v>
      </c>
      <c r="B43" t="s">
        <v>1077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1118</v>
      </c>
    </row>
    <row r="44" spans="1:13" x14ac:dyDescent="0.3">
      <c r="A44" s="33" t="s">
        <v>1119</v>
      </c>
      <c r="B44" s="34" t="s">
        <v>1120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1121</v>
      </c>
      <c r="B45" t="s">
        <v>1122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1123</v>
      </c>
      <c r="B46" s="36" t="s">
        <v>1124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1184</v>
      </c>
      <c r="B47" t="s">
        <v>1163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1615</v>
      </c>
      <c r="F47" t="str">
        <f t="shared" si="17"/>
        <v>Footprints\LQFP128_14x14_exposed_pad.PcbLib</v>
      </c>
      <c r="G47" t="s">
        <v>1164</v>
      </c>
      <c r="L47" t="s">
        <v>1165</v>
      </c>
      <c r="M47" t="s">
        <v>1425</v>
      </c>
    </row>
    <row r="48" spans="1:13" x14ac:dyDescent="0.3">
      <c r="A48" s="35" t="s">
        <v>1166</v>
      </c>
      <c r="B48" s="36" t="s">
        <v>1167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1376</v>
      </c>
      <c r="M48" t="s">
        <v>1450</v>
      </c>
    </row>
    <row r="49" spans="1:13" x14ac:dyDescent="0.3">
      <c r="A49" t="s">
        <v>1168</v>
      </c>
      <c r="B49" t="s">
        <v>1169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1170</v>
      </c>
    </row>
    <row r="50" spans="1:13" x14ac:dyDescent="0.3">
      <c r="A50" t="s">
        <v>1374</v>
      </c>
      <c r="B50" t="s">
        <v>792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1375</v>
      </c>
      <c r="M50" t="s">
        <v>1450</v>
      </c>
    </row>
    <row r="51" spans="1:13" x14ac:dyDescent="0.3">
      <c r="A51" t="s">
        <v>1377</v>
      </c>
      <c r="B51" t="s">
        <v>1378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1170</v>
      </c>
    </row>
    <row r="52" spans="1:13" x14ac:dyDescent="0.3">
      <c r="A52" s="35" t="s">
        <v>1504</v>
      </c>
      <c r="B52" s="36" t="s">
        <v>1505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1506</v>
      </c>
      <c r="M52" t="s">
        <v>1450</v>
      </c>
    </row>
    <row r="53" spans="1:13" x14ac:dyDescent="0.3">
      <c r="A53" t="s">
        <v>1512</v>
      </c>
      <c r="B53" t="s">
        <v>1513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1512</v>
      </c>
      <c r="L53" t="s">
        <v>1514</v>
      </c>
      <c r="M53" t="s">
        <v>1425</v>
      </c>
    </row>
    <row r="54" spans="1:13" x14ac:dyDescent="0.3">
      <c r="A54" t="s">
        <v>1520</v>
      </c>
      <c r="B54" t="s">
        <v>1523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1521</v>
      </c>
      <c r="L54" s="38" t="s">
        <v>1522</v>
      </c>
      <c r="M54" t="s">
        <v>1425</v>
      </c>
    </row>
    <row r="55" spans="1:13" x14ac:dyDescent="0.3">
      <c r="A55" t="s">
        <v>1577</v>
      </c>
      <c r="B55" t="s">
        <v>1578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1376</v>
      </c>
      <c r="L55" t="s">
        <v>1576</v>
      </c>
      <c r="M55" t="s">
        <v>1425</v>
      </c>
    </row>
    <row r="56" spans="1:13" x14ac:dyDescent="0.3">
      <c r="A56" t="s">
        <v>1587</v>
      </c>
      <c r="B56" t="s">
        <v>1584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8" t="s">
        <v>1585</v>
      </c>
      <c r="M56" t="s">
        <v>1586</v>
      </c>
    </row>
    <row r="57" spans="1:13" x14ac:dyDescent="0.3">
      <c r="A57" s="35" t="s">
        <v>1629</v>
      </c>
      <c r="B57" t="s">
        <v>1630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8" t="s">
        <v>1631</v>
      </c>
      <c r="M57" t="s">
        <v>1450</v>
      </c>
    </row>
    <row r="58" spans="1:13" x14ac:dyDescent="0.3">
      <c r="A58" t="s">
        <v>1632</v>
      </c>
      <c r="B58" t="s">
        <v>1633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1634</v>
      </c>
      <c r="L58" s="38" t="s">
        <v>1635</v>
      </c>
      <c r="M58" t="s">
        <v>1450</v>
      </c>
    </row>
    <row r="59" spans="1:13" x14ac:dyDescent="0.3">
      <c r="A59" t="s">
        <v>1636</v>
      </c>
      <c r="B59" s="2" t="s">
        <v>1637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8" t="s">
        <v>1638</v>
      </c>
      <c r="M59" t="s">
        <v>1450</v>
      </c>
    </row>
    <row r="60" spans="1:13" x14ac:dyDescent="0.3">
      <c r="A60" t="s">
        <v>1657</v>
      </c>
      <c r="B60" t="s">
        <v>1658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 t="shared" ref="F60:F65" si="27">CONCATENATE("Footprints\",G60,".PcbLib")</f>
        <v>Footprints\SOT23-5.PcbLib</v>
      </c>
      <c r="G60" t="s">
        <v>1376</v>
      </c>
      <c r="L60" s="38" t="s">
        <v>1659</v>
      </c>
      <c r="M60" t="s">
        <v>1450</v>
      </c>
    </row>
    <row r="61" spans="1:13" x14ac:dyDescent="0.3">
      <c r="A61" t="s">
        <v>1670</v>
      </c>
      <c r="B61" t="s">
        <v>1671</v>
      </c>
      <c r="C61" s="2" t="str">
        <f t="shared" ref="C61:C62" si="28">A61</f>
        <v>AP63205</v>
      </c>
      <c r="D61" t="str">
        <f>CONCATENATE("Schematic\",E61,".SchLib")</f>
        <v>Schematic\AP63205.SchLib</v>
      </c>
      <c r="E61" t="s">
        <v>1670</v>
      </c>
      <c r="F61" t="str">
        <f t="shared" si="27"/>
        <v>Footprints\TSOT26.PcbLib</v>
      </c>
      <c r="G61" t="s">
        <v>1170</v>
      </c>
      <c r="L61" s="38" t="s">
        <v>1672</v>
      </c>
      <c r="M61" s="65" t="s">
        <v>1450</v>
      </c>
    </row>
    <row r="62" spans="1:13" x14ac:dyDescent="0.3">
      <c r="A62" s="66" t="s">
        <v>1678</v>
      </c>
      <c r="B62" s="66" t="s">
        <v>1673</v>
      </c>
      <c r="C62" s="59" t="str">
        <f t="shared" si="28"/>
        <v>ADP150AUJZ-3.3</v>
      </c>
      <c r="D62" s="66" t="str">
        <f>CONCATENATE("Schematic\",E62,".SchLib")</f>
        <v>Schematic\ADP150AUJZ-3.3.SchLib</v>
      </c>
      <c r="E62" s="67" t="str">
        <f>A62</f>
        <v>ADP150AUJZ-3.3</v>
      </c>
      <c r="F62" s="67" t="str">
        <f t="shared" si="27"/>
        <v>Footprints\SOT23-5.PcbLib</v>
      </c>
      <c r="G62" s="67" t="s">
        <v>1376</v>
      </c>
      <c r="H62" s="66"/>
      <c r="I62" s="66"/>
      <c r="J62" s="66"/>
      <c r="K62" s="66"/>
      <c r="L62" s="52" t="s">
        <v>1674</v>
      </c>
      <c r="M62" s="68" t="s">
        <v>1450</v>
      </c>
    </row>
    <row r="63" spans="1:13" x14ac:dyDescent="0.3">
      <c r="A63" t="s">
        <v>1675</v>
      </c>
      <c r="B63" t="s">
        <v>1676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 t="shared" si="27"/>
        <v>Footprints\SOT23-3.PcbLib</v>
      </c>
      <c r="G63" t="s">
        <v>18</v>
      </c>
      <c r="L63" s="38" t="s">
        <v>1677</v>
      </c>
      <c r="M63" s="68" t="s">
        <v>1450</v>
      </c>
    </row>
    <row r="64" spans="1:13" x14ac:dyDescent="0.3">
      <c r="A64" t="s">
        <v>1695</v>
      </c>
      <c r="B64" t="s">
        <v>1696</v>
      </c>
      <c r="C64" s="2" t="str">
        <f>A64</f>
        <v>ADR02BUJZ</v>
      </c>
      <c r="D64" t="str">
        <f>CONCATENATE("Schematic\",A64,".SchLib")</f>
        <v>Schematic\ADR02BUJZ.SchLib</v>
      </c>
      <c r="E64" t="str">
        <f>A64</f>
        <v>ADR02BUJZ</v>
      </c>
      <c r="F64" t="str">
        <f t="shared" si="27"/>
        <v>Footprints\SOT23-5.PcbLib</v>
      </c>
      <c r="G64" s="67" t="s">
        <v>1376</v>
      </c>
      <c r="L64" s="38" t="s">
        <v>1709</v>
      </c>
      <c r="M64" t="s">
        <v>1708</v>
      </c>
    </row>
    <row r="65" spans="1:13" x14ac:dyDescent="0.3">
      <c r="A65" t="s">
        <v>1697</v>
      </c>
      <c r="B65" s="70" t="s">
        <v>1698</v>
      </c>
      <c r="C65" s="2" t="str">
        <f>A65</f>
        <v>ADS1220IPWR</v>
      </c>
      <c r="D65" t="str">
        <f>CONCATENATE("Schematic\",A65,".SchLib")</f>
        <v>Schematic\ADS1220IPWR.SchLib</v>
      </c>
      <c r="E65" t="str">
        <f>A65</f>
        <v>ADS1220IPWR</v>
      </c>
      <c r="F65" t="str">
        <f t="shared" si="27"/>
        <v>Footprints\TSSOP-16.PcbLib</v>
      </c>
      <c r="G65" t="s">
        <v>722</v>
      </c>
      <c r="L65" s="38" t="s">
        <v>1699</v>
      </c>
      <c r="M65" t="s">
        <v>1707</v>
      </c>
    </row>
    <row r="66" spans="1:13" x14ac:dyDescent="0.3">
      <c r="A66" t="s">
        <v>1700</v>
      </c>
      <c r="B66" t="s">
        <v>1701</v>
      </c>
      <c r="C66" s="2" t="str">
        <f t="shared" ref="C66" si="29">A66</f>
        <v>AP63203WU-7</v>
      </c>
      <c r="D66" t="str">
        <f t="shared" ref="D66" si="30">CONCATENATE("Schematic\",A66,".SchLib")</f>
        <v>Schematic\AP63203WU-7.SchLib</v>
      </c>
      <c r="E66" t="str">
        <f t="shared" ref="E66" si="31">A66</f>
        <v>AP63203WU-7</v>
      </c>
      <c r="F66" t="str">
        <f t="shared" ref="F66" si="32">CONCATENATE("Footprints\",G66,".PcbLib")</f>
        <v>Footprints\TSOT23-6.PcbLib</v>
      </c>
      <c r="G66" s="71" t="s">
        <v>1702</v>
      </c>
      <c r="L66" s="38" t="s">
        <v>1703</v>
      </c>
      <c r="M66" t="s">
        <v>1707</v>
      </c>
    </row>
    <row r="67" spans="1:13" x14ac:dyDescent="0.3">
      <c r="A67" t="s">
        <v>1704</v>
      </c>
      <c r="B67" t="s">
        <v>1710</v>
      </c>
      <c r="C67" s="2" t="str">
        <f>A67</f>
        <v>MAX3051EKA+T</v>
      </c>
      <c r="D67" t="str">
        <f>CONCATENATE("Schematic\",A67,".SchLib")</f>
        <v>Schematic\MAX3051EKA+T.SchLib</v>
      </c>
      <c r="E67" t="str">
        <f>A67</f>
        <v>MAX3051EKA+T</v>
      </c>
      <c r="F67" t="str">
        <f>CONCATENATE("Footprints\",G67,".PcbLib")</f>
        <v>Footprints\SOT-23-8.PcbLib</v>
      </c>
      <c r="G67" t="s">
        <v>1705</v>
      </c>
      <c r="L67" s="38" t="s">
        <v>1706</v>
      </c>
      <c r="M67" t="s">
        <v>1707</v>
      </c>
    </row>
    <row r="68" spans="1:13" x14ac:dyDescent="0.3">
      <c r="A68" t="s">
        <v>1719</v>
      </c>
      <c r="B68" t="s">
        <v>1720</v>
      </c>
      <c r="C68" s="2" t="str">
        <f>A68</f>
        <v>REF195ESZ</v>
      </c>
      <c r="D68" t="str">
        <f>CONCATENATE("Schematic\",A68,".SchLib")</f>
        <v>Schematic\REF195ESZ.SchLib</v>
      </c>
      <c r="E68" t="str">
        <f>A68</f>
        <v>REF195ESZ</v>
      </c>
      <c r="F68" t="str">
        <f>CONCATENATE("Footprints\",G68,".PcbLib")</f>
        <v>Footprints\SOIC-8.PcbLib</v>
      </c>
      <c r="G68" s="36" t="s">
        <v>76</v>
      </c>
      <c r="L68" s="38" t="s">
        <v>1721</v>
      </c>
      <c r="M68" t="s">
        <v>1707</v>
      </c>
    </row>
    <row r="69" spans="1:13" x14ac:dyDescent="0.3">
      <c r="A69" t="s">
        <v>1722</v>
      </c>
      <c r="B69" t="s">
        <v>1723</v>
      </c>
      <c r="C69" s="2" t="str">
        <f>A69</f>
        <v>AP63201QWU-7</v>
      </c>
      <c r="D69" t="str">
        <f>CONCATENATE("Schematic\",A69,".SchLib")</f>
        <v>Schematic\AP63201QWU-7.SchLib</v>
      </c>
      <c r="E69" t="str">
        <f>A69</f>
        <v>AP63201QWU-7</v>
      </c>
      <c r="F69" t="str">
        <f>CONCATENATE("Footprints\",G69,".PcbLib")</f>
        <v>Footprints\TSOT23-6.PcbLib</v>
      </c>
      <c r="G69" s="71" t="s">
        <v>1702</v>
      </c>
      <c r="L69" s="38" t="s">
        <v>1724</v>
      </c>
      <c r="M69" t="s">
        <v>1707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5" r:id="rId11" display="https://static.chipdip.ru/lib/404/DOC001404089.pdf" xr:uid="{92CF5E15-C851-4C7C-99C6-1DE4B7D4A57C}"/>
    <hyperlink ref="L66" r:id="rId12" display="https://static.chipdip.ru/lib/527/DOC021527022.pdf" xr:uid="{1C727F9B-6203-4D60-AC18-5081566CDA22}"/>
    <hyperlink ref="L67" r:id="rId13" display="https://static.chipdip.ru/lib/876/DOC015876362.pdf" xr:uid="{7EA77787-570A-423B-B261-4517A509AAC6}"/>
    <hyperlink ref="L64" r:id="rId14" display="https://static.chipdip.ru/lib/517/DOC011517353.pdf" xr:uid="{8FA2E8EB-63F6-4843-B7FC-FF13F945D201}"/>
    <hyperlink ref="L68" r:id="rId15" display="https://www.chipdip.ru/product/ref195esz-reel-istochnik-opornogo-analog-devices-2921641864" xr:uid="{2FFE8C31-80BC-4CB5-A7B8-5738BAE865A4}"/>
    <hyperlink ref="L69" r:id="rId16" xr:uid="{CC858492-1F4C-4D70-98E5-FAFC75B2A4B8}"/>
  </hyperlinks>
  <pageMargins left="0.7" right="0.7" top="0.75" bottom="0.75" header="0.3" footer="0.3"/>
  <pageSetup paperSize="9" orientation="portrait" r:id="rId17"/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1458</v>
      </c>
      <c r="J1" t="s">
        <v>954</v>
      </c>
      <c r="K1" t="s">
        <v>1424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1460</v>
      </c>
      <c r="K2" t="s">
        <v>1450</v>
      </c>
    </row>
    <row r="3" spans="1:11" x14ac:dyDescent="0.3">
      <c r="A3" s="2" t="s">
        <v>690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1460</v>
      </c>
      <c r="K3" t="s">
        <v>1450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1465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1464</v>
      </c>
      <c r="K5" t="s">
        <v>1425</v>
      </c>
    </row>
    <row r="6" spans="1:11" x14ac:dyDescent="0.3">
      <c r="A6" t="s">
        <v>705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934</v>
      </c>
      <c r="K6" t="s">
        <v>1425</v>
      </c>
    </row>
    <row r="7" spans="1:11" x14ac:dyDescent="0.3">
      <c r="A7" t="s">
        <v>777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1463</v>
      </c>
    </row>
    <row r="8" spans="1:11" x14ac:dyDescent="0.3">
      <c r="A8" t="s">
        <v>852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854</v>
      </c>
      <c r="E8" t="s">
        <v>852</v>
      </c>
      <c r="F8" t="str">
        <f>CONCATENATE("Footprints\",G8,".PcbLib")</f>
        <v>Footprints\SOT23.PcbLib</v>
      </c>
      <c r="G8" t="s">
        <v>853</v>
      </c>
      <c r="H8" s="15">
        <v>70</v>
      </c>
      <c r="I8" s="18" t="s">
        <v>1462</v>
      </c>
    </row>
    <row r="9" spans="1:11" x14ac:dyDescent="0.3">
      <c r="A9" t="s">
        <v>863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1461</v>
      </c>
      <c r="K9" t="s">
        <v>1450</v>
      </c>
    </row>
    <row r="10" spans="1:11" x14ac:dyDescent="0.3">
      <c r="A10" t="s">
        <v>864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1461</v>
      </c>
      <c r="K10" t="s">
        <v>1450</v>
      </c>
    </row>
    <row r="11" spans="1:11" x14ac:dyDescent="0.3">
      <c r="A11" t="s">
        <v>867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1461</v>
      </c>
    </row>
    <row r="12" spans="1:11" x14ac:dyDescent="0.3">
      <c r="A12" t="s">
        <v>1125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1458</v>
      </c>
      <c r="J1" t="s">
        <v>69</v>
      </c>
      <c r="K1" t="s">
        <v>25</v>
      </c>
      <c r="L1" t="s">
        <v>888</v>
      </c>
      <c r="M1" t="s">
        <v>954</v>
      </c>
      <c r="N1" t="s">
        <v>1424</v>
      </c>
    </row>
    <row r="2" spans="1:14" ht="13.2" customHeight="1" x14ac:dyDescent="0.3">
      <c r="A2" s="2" t="s">
        <v>68</v>
      </c>
      <c r="B2" s="2" t="s">
        <v>600</v>
      </c>
      <c r="C2" s="2" t="s">
        <v>68</v>
      </c>
      <c r="D2" s="2" t="s">
        <v>71</v>
      </c>
      <c r="E2" s="2" t="s">
        <v>72</v>
      </c>
      <c r="F2" s="2" t="s">
        <v>601</v>
      </c>
      <c r="G2" s="2" t="s">
        <v>70</v>
      </c>
      <c r="H2" s="2" t="s">
        <v>381</v>
      </c>
      <c r="I2" s="2" t="s">
        <v>1459</v>
      </c>
      <c r="J2" s="2" t="s">
        <v>602</v>
      </c>
      <c r="K2" s="2" t="s">
        <v>603</v>
      </c>
      <c r="L2" s="11">
        <v>0.05</v>
      </c>
    </row>
    <row r="3" spans="1:14" x14ac:dyDescent="0.3">
      <c r="A3" t="s">
        <v>757</v>
      </c>
      <c r="B3" s="2" t="s">
        <v>758</v>
      </c>
      <c r="C3" t="s">
        <v>757</v>
      </c>
      <c r="D3" s="2" t="s">
        <v>71</v>
      </c>
      <c r="E3" s="2" t="s">
        <v>72</v>
      </c>
      <c r="F3" s="2" t="s">
        <v>759</v>
      </c>
      <c r="G3" t="s">
        <v>760</v>
      </c>
      <c r="H3" s="2" t="s">
        <v>761</v>
      </c>
      <c r="I3" s="2" t="s">
        <v>1459</v>
      </c>
      <c r="J3" s="2" t="s">
        <v>885</v>
      </c>
      <c r="K3" s="2" t="s">
        <v>762</v>
      </c>
      <c r="L3" s="11">
        <v>0.02</v>
      </c>
      <c r="N3" t="s">
        <v>1425</v>
      </c>
    </row>
    <row r="4" spans="1:14" x14ac:dyDescent="0.3">
      <c r="A4" t="s">
        <v>881</v>
      </c>
      <c r="B4" s="2" t="s">
        <v>882</v>
      </c>
      <c r="C4" t="s">
        <v>881</v>
      </c>
      <c r="D4" s="2" t="s">
        <v>883</v>
      </c>
      <c r="E4" t="s">
        <v>884</v>
      </c>
      <c r="F4" s="2" t="s">
        <v>889</v>
      </c>
      <c r="G4" t="s">
        <v>18</v>
      </c>
      <c r="H4" s="2" t="s">
        <v>380</v>
      </c>
      <c r="I4" s="2" t="s">
        <v>1459</v>
      </c>
      <c r="J4" s="2" t="s">
        <v>886</v>
      </c>
      <c r="K4" s="2" t="s">
        <v>887</v>
      </c>
      <c r="L4" s="11">
        <v>0.02</v>
      </c>
      <c r="N4" t="s">
        <v>1425</v>
      </c>
    </row>
    <row r="5" spans="1:14" x14ac:dyDescent="0.3">
      <c r="A5" t="s">
        <v>939</v>
      </c>
      <c r="B5" t="s">
        <v>938</v>
      </c>
      <c r="C5" t="s">
        <v>939</v>
      </c>
      <c r="D5" s="2" t="s">
        <v>71</v>
      </c>
      <c r="E5" s="2" t="s">
        <v>72</v>
      </c>
      <c r="F5" s="2" t="s">
        <v>759</v>
      </c>
      <c r="G5" t="s">
        <v>760</v>
      </c>
      <c r="H5" s="2" t="s">
        <v>381</v>
      </c>
      <c r="I5" s="2" t="s">
        <v>1459</v>
      </c>
      <c r="J5" s="2" t="s">
        <v>885</v>
      </c>
      <c r="K5" s="2" t="s">
        <v>603</v>
      </c>
      <c r="L5" s="11">
        <v>0.02</v>
      </c>
      <c r="N5" t="s">
        <v>1425</v>
      </c>
    </row>
    <row r="6" spans="1:14" x14ac:dyDescent="0.3">
      <c r="A6" t="s">
        <v>1421</v>
      </c>
      <c r="B6" t="s">
        <v>1427</v>
      </c>
      <c r="C6" t="s">
        <v>1421</v>
      </c>
      <c r="D6" s="2" t="s">
        <v>71</v>
      </c>
      <c r="E6" s="2" t="s">
        <v>72</v>
      </c>
      <c r="F6" s="2" t="s">
        <v>759</v>
      </c>
      <c r="G6" t="s">
        <v>760</v>
      </c>
      <c r="H6" s="2" t="s">
        <v>379</v>
      </c>
      <c r="I6" s="2" t="s">
        <v>1459</v>
      </c>
      <c r="J6" s="2" t="s">
        <v>885</v>
      </c>
      <c r="K6" s="2" t="s">
        <v>1422</v>
      </c>
      <c r="L6" s="11">
        <v>0.02</v>
      </c>
      <c r="M6" t="s">
        <v>1423</v>
      </c>
      <c r="N6" t="s">
        <v>1425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954</v>
      </c>
      <c r="M1" t="s">
        <v>1424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1191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675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676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739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1126</v>
      </c>
      <c r="B10" t="s">
        <v>1127</v>
      </c>
      <c r="C10" t="str">
        <f>A10</f>
        <v>SMBJ16CA</v>
      </c>
      <c r="D10" t="str">
        <f>CONCATENATE("Schematic\TVS\",E10,".SchLib")</f>
        <v>Schematic\TVS\TVS_1_2dir.SchLib</v>
      </c>
      <c r="E10" t="s">
        <v>1191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1154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676</v>
      </c>
      <c r="H11">
        <v>3.3</v>
      </c>
      <c r="I11">
        <v>45</v>
      </c>
      <c r="J11" t="str">
        <f xml:space="preserve"> CONCATENATE(H11," В")</f>
        <v>3,3 В</v>
      </c>
      <c r="M11" t="s">
        <v>1450</v>
      </c>
    </row>
    <row r="12" spans="1:13" x14ac:dyDescent="0.3">
      <c r="A12" t="s">
        <v>1431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1450</v>
      </c>
    </row>
    <row r="13" spans="1:13" x14ac:dyDescent="0.3">
      <c r="A13" s="53" t="s">
        <v>1511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0"/>
  <sheetViews>
    <sheetView zoomScale="119" zoomScaleNormal="70" workbookViewId="0">
      <selection activeCell="L21" sqref="L21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954</v>
      </c>
      <c r="M1" s="1" t="s">
        <v>1424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909</v>
      </c>
      <c r="K2" t="s">
        <v>910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769</v>
      </c>
      <c r="K3" t="s">
        <v>911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662</v>
      </c>
      <c r="B7" s="3" t="s">
        <v>21</v>
      </c>
      <c r="C7" s="2" t="str">
        <f t="shared" si="0"/>
        <v>AO4411</v>
      </c>
      <c r="D7" s="3" t="s">
        <v>663</v>
      </c>
      <c r="E7" s="3" t="s">
        <v>664</v>
      </c>
      <c r="F7" t="str">
        <f t="shared" si="1"/>
        <v>Footprints\SOIC-8.PcbLib</v>
      </c>
      <c r="G7" s="1" t="s">
        <v>76</v>
      </c>
      <c r="H7" s="2"/>
      <c r="M7" t="s">
        <v>1450</v>
      </c>
    </row>
    <row r="8" spans="1:19" ht="15.6" x14ac:dyDescent="0.3">
      <c r="A8" s="1" t="s">
        <v>665</v>
      </c>
      <c r="B8" s="1" t="s">
        <v>666</v>
      </c>
      <c r="C8" s="2" t="str">
        <f t="shared" ref="C8:C13" si="2">A8</f>
        <v>AO4812</v>
      </c>
      <c r="D8" s="3" t="s">
        <v>667</v>
      </c>
      <c r="E8" s="1" t="s">
        <v>665</v>
      </c>
      <c r="F8" t="str">
        <f t="shared" si="1"/>
        <v>Footprints\SOP8.PcbLib</v>
      </c>
      <c r="G8" s="1" t="s">
        <v>688</v>
      </c>
      <c r="J8" t="s">
        <v>769</v>
      </c>
      <c r="K8" t="s">
        <v>770</v>
      </c>
      <c r="M8" t="s">
        <v>1425</v>
      </c>
    </row>
    <row r="9" spans="1:19" ht="15.6" x14ac:dyDescent="0.3">
      <c r="A9" s="1" t="s">
        <v>763</v>
      </c>
      <c r="B9" s="1" t="s">
        <v>764</v>
      </c>
      <c r="C9" s="2" t="str">
        <f t="shared" si="2"/>
        <v>bc807</v>
      </c>
      <c r="D9" s="3" t="s">
        <v>766</v>
      </c>
      <c r="E9" s="1" t="s">
        <v>765</v>
      </c>
      <c r="F9" t="str">
        <f>CONCATENATE("Footprints\",G9,".PcbLib")</f>
        <v>Footprints\SOT23-3.PcbLib</v>
      </c>
      <c r="G9" s="3" t="s">
        <v>18</v>
      </c>
      <c r="J9" t="s">
        <v>767</v>
      </c>
      <c r="K9" t="s">
        <v>768</v>
      </c>
      <c r="M9" t="s">
        <v>1425</v>
      </c>
    </row>
    <row r="10" spans="1:19" ht="15.6" x14ac:dyDescent="0.3">
      <c r="A10" s="1" t="s">
        <v>787</v>
      </c>
      <c r="B10" s="1" t="s">
        <v>790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908</v>
      </c>
      <c r="H10" s="2"/>
      <c r="I10" s="2"/>
      <c r="J10" t="s">
        <v>788</v>
      </c>
      <c r="K10" t="s">
        <v>789</v>
      </c>
      <c r="M10" t="s">
        <v>1425</v>
      </c>
    </row>
    <row r="11" spans="1:19" ht="15.6" x14ac:dyDescent="0.3">
      <c r="A11" s="1" t="s">
        <v>1080</v>
      </c>
      <c r="B11" s="1" t="s">
        <v>1081</v>
      </c>
      <c r="C11" s="2" t="str">
        <f t="shared" si="2"/>
        <v>SIR426DP-T1-GE3</v>
      </c>
      <c r="D11" s="3" t="s">
        <v>1082</v>
      </c>
      <c r="E11" s="1" t="s">
        <v>1080</v>
      </c>
      <c r="F11" t="str">
        <f t="shared" ref="F11:F17" si="4">CONCATENATE("Footprints\",G11,".PcbLib")</f>
        <v>Footprints\PowerPAK_SO-8.PcbLib</v>
      </c>
      <c r="G11" s="1" t="s">
        <v>1115</v>
      </c>
      <c r="J11" t="s">
        <v>1083</v>
      </c>
    </row>
    <row r="12" spans="1:19" ht="15.6" x14ac:dyDescent="0.3">
      <c r="A12" s="32" t="s">
        <v>1109</v>
      </c>
      <c r="B12" s="1" t="s">
        <v>1110</v>
      </c>
      <c r="C12" s="2" t="str">
        <f t="shared" si="2"/>
        <v>PDTC114ET</v>
      </c>
      <c r="D12" s="3" t="s">
        <v>1111</v>
      </c>
      <c r="E12" s="1" t="s">
        <v>1109</v>
      </c>
      <c r="F12" t="str">
        <f t="shared" si="4"/>
        <v>Footprints\SOT23-3.PcbLib</v>
      </c>
      <c r="G12" s="3" t="s">
        <v>18</v>
      </c>
      <c r="J12" t="s">
        <v>1113</v>
      </c>
      <c r="K12" t="s">
        <v>1112</v>
      </c>
    </row>
    <row r="13" spans="1:19" ht="15.6" x14ac:dyDescent="0.3">
      <c r="A13" s="1" t="s">
        <v>1128</v>
      </c>
      <c r="B13" s="1" t="s">
        <v>5</v>
      </c>
      <c r="C13" s="2" t="str">
        <f t="shared" si="2"/>
        <v>IRFH7084</v>
      </c>
      <c r="D13" s="1" t="s">
        <v>1129</v>
      </c>
      <c r="E13" s="1" t="s">
        <v>1130</v>
      </c>
      <c r="F13" t="str">
        <f t="shared" si="4"/>
        <v>Footprints\PQFN_5x6.PcbLib</v>
      </c>
      <c r="G13" s="1" t="s">
        <v>1131</v>
      </c>
      <c r="J13" t="s">
        <v>1083</v>
      </c>
      <c r="K13" t="s">
        <v>1132</v>
      </c>
    </row>
    <row r="14" spans="1:19" ht="15.6" x14ac:dyDescent="0.3">
      <c r="A14" s="1" t="s">
        <v>1159</v>
      </c>
      <c r="B14" s="1" t="s">
        <v>1161</v>
      </c>
      <c r="C14" s="2" t="str">
        <f t="shared" ref="C14:C19" si="5">A14</f>
        <v>BC857</v>
      </c>
      <c r="D14" s="3" t="s">
        <v>766</v>
      </c>
      <c r="E14" s="1" t="s">
        <v>765</v>
      </c>
      <c r="F14" t="str">
        <f t="shared" si="4"/>
        <v>Footprints\SOT23-3.PcbLib</v>
      </c>
      <c r="G14" s="3" t="s">
        <v>18</v>
      </c>
      <c r="J14" t="s">
        <v>767</v>
      </c>
      <c r="K14" t="s">
        <v>1160</v>
      </c>
      <c r="M14" t="s">
        <v>1450</v>
      </c>
    </row>
    <row r="15" spans="1:19" ht="15.6" x14ac:dyDescent="0.3">
      <c r="A15" s="1" t="s">
        <v>1162</v>
      </c>
      <c r="B15" s="3" t="s">
        <v>21</v>
      </c>
      <c r="C15" s="2" t="str">
        <f t="shared" si="5"/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1083</v>
      </c>
      <c r="K15" t="s">
        <v>911</v>
      </c>
      <c r="M15" t="s">
        <v>1450</v>
      </c>
    </row>
    <row r="16" spans="1:19" ht="15.6" x14ac:dyDescent="0.3">
      <c r="A16" s="1" t="s">
        <v>1489</v>
      </c>
      <c r="B16" s="1" t="s">
        <v>1490</v>
      </c>
      <c r="C16" s="2" t="str">
        <f t="shared" si="5"/>
        <v>BC857BS</v>
      </c>
      <c r="D16" s="3" t="s">
        <v>1491</v>
      </c>
      <c r="E16" s="1" t="s">
        <v>1492</v>
      </c>
      <c r="F16" t="str">
        <f t="shared" si="4"/>
        <v>Footprints\SOT-363.PcbLib</v>
      </c>
      <c r="G16" s="1" t="s">
        <v>1493</v>
      </c>
      <c r="H16" t="str">
        <f>CONCATENATE("Footprints\",I16,".PcbLib")</f>
        <v>Footprints\SOT-363_35um.PcbLib</v>
      </c>
      <c r="I16" t="s">
        <v>1497</v>
      </c>
      <c r="J16" t="s">
        <v>767</v>
      </c>
      <c r="K16" t="s">
        <v>1160</v>
      </c>
      <c r="M16" t="s">
        <v>1450</v>
      </c>
    </row>
    <row r="17" spans="1:13" ht="15.6" x14ac:dyDescent="0.3">
      <c r="A17" s="1" t="s">
        <v>1494</v>
      </c>
      <c r="B17" s="3" t="s">
        <v>1495</v>
      </c>
      <c r="C17" s="2" t="str">
        <f t="shared" si="5"/>
        <v>IRF9310TR</v>
      </c>
      <c r="D17" s="3" t="s">
        <v>663</v>
      </c>
      <c r="E17" s="3" t="s">
        <v>664</v>
      </c>
      <c r="F17" t="str">
        <f t="shared" si="4"/>
        <v>Footprints\SOIC-8.PcbLib</v>
      </c>
      <c r="G17" s="1" t="s">
        <v>76</v>
      </c>
      <c r="J17" t="s">
        <v>769</v>
      </c>
      <c r="K17" t="s">
        <v>1496</v>
      </c>
      <c r="M17" t="s">
        <v>1450</v>
      </c>
    </row>
    <row r="18" spans="1:13" ht="15.6" x14ac:dyDescent="0.3">
      <c r="A18" s="1" t="s">
        <v>1507</v>
      </c>
      <c r="B18" s="1" t="s">
        <v>1510</v>
      </c>
      <c r="C18" s="2" t="str">
        <f t="shared" si="5"/>
        <v>IRFH3702</v>
      </c>
      <c r="D18" s="1" t="s">
        <v>1129</v>
      </c>
      <c r="E18" s="1" t="s">
        <v>1130</v>
      </c>
      <c r="F18" t="str">
        <f>CONCATENATE("Footprints\",G18,".PcbLib")</f>
        <v>Footprints\PQFN_3x3.PcbLib</v>
      </c>
      <c r="G18" s="1" t="s">
        <v>1508</v>
      </c>
      <c r="J18" t="s">
        <v>769</v>
      </c>
      <c r="K18" t="s">
        <v>1509</v>
      </c>
      <c r="M18" t="s">
        <v>1450</v>
      </c>
    </row>
    <row r="19" spans="1:13" ht="15.6" x14ac:dyDescent="0.3">
      <c r="A19" s="1" t="s">
        <v>1620</v>
      </c>
      <c r="B19" s="1" t="s">
        <v>1621</v>
      </c>
      <c r="C19" s="2" t="str">
        <f t="shared" si="5"/>
        <v>NVMFS5C673NL</v>
      </c>
      <c r="D19" s="1" t="s">
        <v>1622</v>
      </c>
      <c r="E19" s="1" t="s">
        <v>1623</v>
      </c>
      <c r="F19" t="str">
        <f>CONCATENATE("Footprints\",G19,".PcbLib")</f>
        <v>Footprints\DFN5_5x6.PcbLib</v>
      </c>
      <c r="G19" s="1" t="s">
        <v>1624</v>
      </c>
      <c r="J19" t="s">
        <v>909</v>
      </c>
      <c r="K19" t="s">
        <v>910</v>
      </c>
      <c r="L19" s="38" t="s">
        <v>1625</v>
      </c>
      <c r="M19" t="s">
        <v>1450</v>
      </c>
    </row>
    <row r="20" spans="1:13" ht="15.6" x14ac:dyDescent="0.3">
      <c r="A20" s="1" t="s">
        <v>1626</v>
      </c>
      <c r="B20" s="1" t="s">
        <v>1621</v>
      </c>
      <c r="C20" s="2" t="str">
        <f>A20</f>
        <v>CSD18534Q5A</v>
      </c>
      <c r="D20" s="1" t="s">
        <v>1622</v>
      </c>
      <c r="E20" s="1" t="s">
        <v>1623</v>
      </c>
      <c r="F20" t="str">
        <f>CONCATENATE("Footprints\",G20,".PcbLib")</f>
        <v>Footprints\SON-8_5x6.PcbLib</v>
      </c>
      <c r="G20" s="1" t="s">
        <v>1627</v>
      </c>
      <c r="J20" t="s">
        <v>909</v>
      </c>
      <c r="K20" t="s">
        <v>910</v>
      </c>
      <c r="L20" s="38" t="s">
        <v>1628</v>
      </c>
      <c r="M20" t="s">
        <v>1450</v>
      </c>
    </row>
  </sheetData>
  <phoneticPr fontId="8" type="noConversion"/>
  <hyperlinks>
    <hyperlink ref="L19" r:id="rId1" xr:uid="{06894A4B-B858-4909-8118-D37CC7CD03DF}"/>
    <hyperlink ref="L20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90"/>
  <sheetViews>
    <sheetView zoomScale="70" zoomScaleNormal="70" workbookViewId="0">
      <selection activeCell="H2" sqref="H2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954</v>
      </c>
      <c r="O1" s="1" t="s">
        <v>1424</v>
      </c>
    </row>
    <row r="2" spans="1:15" ht="15.6" x14ac:dyDescent="0.3">
      <c r="A2" s="3" t="s">
        <v>131</v>
      </c>
      <c r="B2" s="3" t="s">
        <v>1194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1195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1197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1196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1200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1198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1199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1201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1202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1203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1205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1206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1204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1209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1208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1207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1210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1212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1211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1213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1214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1215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1216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1217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1218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1219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1220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1221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1222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1223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1224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1225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1226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1227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1228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1229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1230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1231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1232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1233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1235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1234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1236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1237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1238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1239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1240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1241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1242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1244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1243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772</v>
      </c>
      <c r="K52" s="1" t="s">
        <v>771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1245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1246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1247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1248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1249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1250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1015</v>
      </c>
      <c r="K58" s="1" t="s">
        <v>1023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1251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1253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1015</v>
      </c>
      <c r="K60" s="1" t="s">
        <v>1024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1252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1254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1255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1256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1257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1258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1015</v>
      </c>
      <c r="K66" s="1" t="s">
        <v>1025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1259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721</v>
      </c>
      <c r="K67" s="1" t="s">
        <v>720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1260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1261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1262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1263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1264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1265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1266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1015</v>
      </c>
      <c r="K74" s="1" t="s">
        <v>1016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1267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1268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1091</v>
      </c>
      <c r="B77" s="3" t="s">
        <v>1269</v>
      </c>
      <c r="C77" s="3" t="s">
        <v>26</v>
      </c>
      <c r="D77" s="3" t="s">
        <v>29</v>
      </c>
      <c r="E77" s="3" t="s">
        <v>26</v>
      </c>
      <c r="F77" s="3" t="s">
        <v>1092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1270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1271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1272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721</v>
      </c>
      <c r="K80" s="1" t="s">
        <v>720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1273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1274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1015</v>
      </c>
      <c r="K82" s="1" t="s">
        <v>1017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1275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1276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1277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1278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721</v>
      </c>
      <c r="K86" s="1" t="s">
        <v>720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1279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967</v>
      </c>
      <c r="K87" s="1" t="s">
        <v>968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1280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1281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1282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1283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1015</v>
      </c>
      <c r="K91" s="1" t="s">
        <v>1018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1284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1285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1286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1287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1288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1289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1290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1291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965</v>
      </c>
      <c r="K99" s="1" t="s">
        <v>966</v>
      </c>
      <c r="L99" s="1" t="s">
        <v>1015</v>
      </c>
      <c r="M99" s="1" t="s">
        <v>1019</v>
      </c>
      <c r="N99" s="25"/>
      <c r="O99" s="1"/>
    </row>
    <row r="100" spans="1:15" ht="15" customHeight="1" x14ac:dyDescent="0.3">
      <c r="A100" s="3" t="s">
        <v>1089</v>
      </c>
      <c r="B100" s="3" t="s">
        <v>1292</v>
      </c>
      <c r="C100" s="3" t="s">
        <v>26</v>
      </c>
      <c r="D100" s="3" t="s">
        <v>29</v>
      </c>
      <c r="E100" s="3" t="s">
        <v>26</v>
      </c>
      <c r="F100" s="3" t="s">
        <v>1090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1293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1294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1093</v>
      </c>
      <c r="B103" s="3" t="s">
        <v>1295</v>
      </c>
      <c r="C103" s="3" t="s">
        <v>26</v>
      </c>
      <c r="D103" s="3" t="s">
        <v>29</v>
      </c>
      <c r="E103" s="3" t="s">
        <v>26</v>
      </c>
      <c r="F103" s="3" t="s">
        <v>1094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1296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1297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1298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1299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1300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1015</v>
      </c>
      <c r="K108" s="1" t="s">
        <v>1020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1301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1015</v>
      </c>
      <c r="K109" s="1" t="s">
        <v>1021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1302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1303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1304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677</v>
      </c>
      <c r="B113" s="3" t="s">
        <v>1305</v>
      </c>
      <c r="C113" s="3" t="s">
        <v>26</v>
      </c>
      <c r="D113" s="3" t="s">
        <v>29</v>
      </c>
      <c r="E113" s="3" t="s">
        <v>26</v>
      </c>
      <c r="F113" s="1" t="s">
        <v>678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1306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1307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1308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1309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1310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1311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1312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1313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1314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1315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1316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1317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1318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1015</v>
      </c>
      <c r="K126" s="1" t="s">
        <v>1022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1319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1320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1321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1322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1323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1324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1325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1326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1327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1328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1329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1330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1331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1332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1333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1334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1335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1336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1337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1338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1339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1340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1341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1342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1343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1344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1345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1346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1347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1348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1349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1350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1351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1352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1353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1354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1355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1356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1357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1358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1359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1360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1361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1362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1363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1364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1365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1366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711</v>
      </c>
      <c r="B175" s="1" t="s">
        <v>712</v>
      </c>
      <c r="C175" s="1" t="s">
        <v>711</v>
      </c>
      <c r="D175" s="3" t="s">
        <v>717</v>
      </c>
      <c r="E175" s="1" t="s">
        <v>716</v>
      </c>
      <c r="F175" s="1" t="s">
        <v>714</v>
      </c>
      <c r="G175" s="13">
        <v>0.5</v>
      </c>
      <c r="H175" s="3" t="s">
        <v>713</v>
      </c>
      <c r="I175" s="1" t="s">
        <v>715</v>
      </c>
      <c r="J175" s="1"/>
      <c r="K175" s="1"/>
      <c r="L175" s="1"/>
      <c r="M175" s="1"/>
      <c r="N175" s="25"/>
      <c r="O175" s="1" t="s">
        <v>1425</v>
      </c>
    </row>
    <row r="176" spans="1:15" ht="15.6" x14ac:dyDescent="0.3">
      <c r="A176" s="14" t="s">
        <v>778</v>
      </c>
      <c r="B176" s="1" t="s">
        <v>779</v>
      </c>
      <c r="C176" s="1" t="s">
        <v>778</v>
      </c>
      <c r="D176" s="3" t="s">
        <v>717</v>
      </c>
      <c r="E176" s="1" t="s">
        <v>716</v>
      </c>
      <c r="F176" s="1">
        <v>100</v>
      </c>
      <c r="G176" s="13">
        <v>0.5</v>
      </c>
      <c r="H176" s="3" t="s">
        <v>713</v>
      </c>
      <c r="I176" s="1" t="s">
        <v>715</v>
      </c>
      <c r="J176" s="1"/>
      <c r="K176" s="1"/>
      <c r="L176" s="1"/>
      <c r="M176" s="1"/>
      <c r="N176" s="1"/>
      <c r="O176" s="1" t="s">
        <v>1425</v>
      </c>
    </row>
    <row r="177" spans="1:15" ht="15.6" x14ac:dyDescent="0.3">
      <c r="A177" s="14" t="s">
        <v>782</v>
      </c>
      <c r="B177" s="1" t="s">
        <v>783</v>
      </c>
      <c r="C177" s="1" t="s">
        <v>782</v>
      </c>
      <c r="D177" s="3" t="s">
        <v>717</v>
      </c>
      <c r="E177" s="1" t="s">
        <v>716</v>
      </c>
      <c r="F177" s="1" t="s">
        <v>784</v>
      </c>
      <c r="G177" s="13">
        <v>0.5</v>
      </c>
      <c r="H177" s="3" t="s">
        <v>713</v>
      </c>
      <c r="I177" s="1" t="s">
        <v>715</v>
      </c>
      <c r="J177" s="1"/>
      <c r="K177" s="1"/>
      <c r="L177" s="1"/>
      <c r="M177" s="1"/>
      <c r="N177" s="1"/>
      <c r="O177" s="1" t="s">
        <v>1425</v>
      </c>
    </row>
    <row r="178" spans="1:15" ht="15.6" x14ac:dyDescent="0.3">
      <c r="A178" s="3" t="s">
        <v>914</v>
      </c>
      <c r="B178" s="3" t="s">
        <v>1368</v>
      </c>
      <c r="C178" s="3" t="s">
        <v>26</v>
      </c>
      <c r="D178" s="3" t="s">
        <v>29</v>
      </c>
      <c r="E178" s="3" t="s">
        <v>26</v>
      </c>
      <c r="F178" s="3" t="s">
        <v>913</v>
      </c>
      <c r="G178" s="4">
        <v>0.01</v>
      </c>
      <c r="H178" s="3" t="s">
        <v>721</v>
      </c>
      <c r="I178" s="3" t="s">
        <v>720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1078</v>
      </c>
      <c r="B179" s="1" t="s">
        <v>1369</v>
      </c>
      <c r="C179" s="1" t="s">
        <v>26</v>
      </c>
      <c r="D179" s="3" t="s">
        <v>29</v>
      </c>
      <c r="E179" s="3" t="s">
        <v>26</v>
      </c>
      <c r="F179" s="3" t="s">
        <v>1079</v>
      </c>
      <c r="G179" s="4">
        <v>0.01</v>
      </c>
      <c r="H179" s="3" t="s">
        <v>967</v>
      </c>
      <c r="I179" s="3" t="s">
        <v>968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1104</v>
      </c>
      <c r="B180" s="3" t="s">
        <v>1105</v>
      </c>
      <c r="C180" s="3" t="s">
        <v>26</v>
      </c>
      <c r="D180" s="3" t="s">
        <v>29</v>
      </c>
      <c r="E180" s="3" t="s">
        <v>26</v>
      </c>
      <c r="F180" s="3" t="s">
        <v>1106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1133</v>
      </c>
      <c r="B181" s="1" t="s">
        <v>1367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721</v>
      </c>
      <c r="I181" s="1" t="s">
        <v>720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1418</v>
      </c>
      <c r="B182" s="1" t="s">
        <v>1419</v>
      </c>
      <c r="C182" s="1" t="s">
        <v>1418</v>
      </c>
      <c r="D182" s="1" t="s">
        <v>29</v>
      </c>
      <c r="E182" s="1" t="s">
        <v>26</v>
      </c>
      <c r="F182" s="1" t="s">
        <v>1420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1425</v>
      </c>
    </row>
    <row r="183" spans="1:15" ht="15.6" x14ac:dyDescent="0.3">
      <c r="A183" s="3" t="s">
        <v>1445</v>
      </c>
      <c r="B183" s="3" t="s">
        <v>1266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1446</v>
      </c>
      <c r="I183" s="3" t="s">
        <v>1447</v>
      </c>
      <c r="J183" s="3"/>
      <c r="K183" s="1"/>
      <c r="L183" s="1"/>
      <c r="M183" s="1"/>
      <c r="N183" s="51"/>
      <c r="O183" s="1" t="s">
        <v>1425</v>
      </c>
    </row>
    <row r="184" spans="1:15" ht="15" customHeight="1" x14ac:dyDescent="0.3">
      <c r="A184" s="3" t="s">
        <v>1448</v>
      </c>
      <c r="B184" s="3" t="s">
        <v>1283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1446</v>
      </c>
      <c r="I184" s="3" t="s">
        <v>1447</v>
      </c>
      <c r="J184" s="1"/>
      <c r="K184" s="1"/>
      <c r="L184" s="1"/>
      <c r="M184" s="1"/>
      <c r="N184" s="50"/>
      <c r="O184" s="1" t="s">
        <v>1425</v>
      </c>
    </row>
    <row r="185" spans="1:15" ht="15" customHeight="1" x14ac:dyDescent="0.3">
      <c r="A185" s="3" t="s">
        <v>1579</v>
      </c>
      <c r="B185" s="3" t="s">
        <v>1258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1446</v>
      </c>
      <c r="I185" s="3" t="s">
        <v>1447</v>
      </c>
      <c r="J185" s="1"/>
      <c r="K185" s="1"/>
      <c r="L185" s="1"/>
      <c r="M185" s="1"/>
      <c r="N185" s="1"/>
      <c r="O185" s="1" t="s">
        <v>1425</v>
      </c>
    </row>
    <row r="186" spans="1:15" ht="15.6" x14ac:dyDescent="0.3">
      <c r="A186" s="1" t="s">
        <v>1647</v>
      </c>
      <c r="B186" s="3" t="s">
        <v>1238</v>
      </c>
      <c r="C186" s="3" t="s">
        <v>26</v>
      </c>
      <c r="D186" s="3" t="s">
        <v>29</v>
      </c>
      <c r="E186" s="3" t="s">
        <v>26</v>
      </c>
      <c r="F186" s="1">
        <v>68</v>
      </c>
      <c r="G186" s="4">
        <v>0.01</v>
      </c>
      <c r="H186" s="3" t="s">
        <v>721</v>
      </c>
      <c r="I186" s="3" t="s">
        <v>720</v>
      </c>
      <c r="J186" s="1"/>
      <c r="K186" s="1"/>
      <c r="L186" s="1"/>
      <c r="M186" s="1"/>
      <c r="N186" s="1"/>
      <c r="O186" s="1" t="s">
        <v>1450</v>
      </c>
    </row>
    <row r="187" spans="1:15" ht="15.6" x14ac:dyDescent="0.3">
      <c r="A187" s="1" t="s">
        <v>1648</v>
      </c>
      <c r="B187" s="3" t="s">
        <v>1230</v>
      </c>
      <c r="C187" s="3" t="s">
        <v>26</v>
      </c>
      <c r="D187" s="3" t="s">
        <v>29</v>
      </c>
      <c r="E187" s="3" t="s">
        <v>26</v>
      </c>
      <c r="F187" s="1">
        <v>33</v>
      </c>
      <c r="G187" s="4">
        <v>0.01</v>
      </c>
      <c r="H187" s="3" t="s">
        <v>721</v>
      </c>
      <c r="I187" s="3" t="s">
        <v>720</v>
      </c>
      <c r="J187" s="1"/>
      <c r="K187" s="1"/>
      <c r="L187" s="1"/>
      <c r="M187" s="1"/>
      <c r="N187" s="1"/>
      <c r="O187" s="1" t="s">
        <v>1450</v>
      </c>
    </row>
    <row r="188" spans="1:15" ht="15.6" x14ac:dyDescent="0.3">
      <c r="A188" s="61" t="s">
        <v>1652</v>
      </c>
      <c r="B188" s="61" t="s">
        <v>1235</v>
      </c>
      <c r="C188" s="61" t="s">
        <v>26</v>
      </c>
      <c r="D188" s="61" t="s">
        <v>29</v>
      </c>
      <c r="E188" s="61" t="s">
        <v>26</v>
      </c>
      <c r="F188" s="61" t="s">
        <v>395</v>
      </c>
      <c r="G188" s="62">
        <v>0.01</v>
      </c>
      <c r="H188" s="61" t="s">
        <v>1654</v>
      </c>
      <c r="I188" s="61" t="s">
        <v>1653</v>
      </c>
      <c r="J188" s="63"/>
      <c r="K188" s="63"/>
      <c r="L188" s="63"/>
      <c r="M188" s="63"/>
      <c r="N188" s="31"/>
      <c r="O188" s="1" t="s">
        <v>1450</v>
      </c>
    </row>
    <row r="189" spans="1:15" ht="15.6" x14ac:dyDescent="0.3">
      <c r="A189" s="1" t="s">
        <v>1681</v>
      </c>
      <c r="B189" s="61" t="s">
        <v>1682</v>
      </c>
      <c r="C189" s="61" t="s">
        <v>26</v>
      </c>
      <c r="D189" s="61" t="s">
        <v>29</v>
      </c>
      <c r="E189" s="61" t="s">
        <v>26</v>
      </c>
      <c r="F189" s="61" t="s">
        <v>714</v>
      </c>
      <c r="G189" s="62">
        <v>0.01</v>
      </c>
      <c r="H189" s="61" t="s">
        <v>1654</v>
      </c>
      <c r="I189" s="61" t="s">
        <v>1653</v>
      </c>
      <c r="J189" s="63"/>
      <c r="K189" s="63"/>
      <c r="L189" s="63"/>
      <c r="M189" s="63"/>
      <c r="N189" s="31"/>
      <c r="O189" s="1" t="s">
        <v>1450</v>
      </c>
    </row>
    <row r="190" spans="1:15" ht="15.6" x14ac:dyDescent="0.3">
      <c r="A190" s="61" t="s">
        <v>1689</v>
      </c>
      <c r="B190" s="61" t="s">
        <v>1690</v>
      </c>
      <c r="C190" s="61" t="s">
        <v>26</v>
      </c>
      <c r="D190" s="61" t="s">
        <v>29</v>
      </c>
      <c r="E190" s="61" t="s">
        <v>26</v>
      </c>
      <c r="F190" s="61" t="s">
        <v>1691</v>
      </c>
      <c r="G190" s="69">
        <v>0.05</v>
      </c>
      <c r="H190" s="61" t="s">
        <v>134</v>
      </c>
      <c r="I190" s="61" t="s">
        <v>32</v>
      </c>
      <c r="J190" s="63"/>
      <c r="K190" s="63"/>
      <c r="L190" s="63"/>
      <c r="M190" s="63"/>
      <c r="N190" s="31"/>
      <c r="O190" s="1" t="s">
        <v>1450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1467</v>
      </c>
      <c r="J1" s="42" t="s">
        <v>69</v>
      </c>
      <c r="K1" s="42" t="s">
        <v>954</v>
      </c>
      <c r="L1" s="1" t="s">
        <v>1424</v>
      </c>
    </row>
    <row r="2" spans="1:12" x14ac:dyDescent="0.3">
      <c r="A2" s="19" t="s">
        <v>917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916</v>
      </c>
      <c r="E2" s="20" t="s">
        <v>915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1466</v>
      </c>
      <c r="J2" s="2"/>
      <c r="L2" t="s">
        <v>1425</v>
      </c>
    </row>
    <row r="3" spans="1:12" x14ac:dyDescent="0.3">
      <c r="A3" s="2" t="s">
        <v>1084</v>
      </c>
      <c r="B3" s="2" t="s">
        <v>1085</v>
      </c>
      <c r="C3" s="2" t="s">
        <v>1084</v>
      </c>
      <c r="D3" s="2" t="s">
        <v>916</v>
      </c>
      <c r="E3" s="2" t="s">
        <v>915</v>
      </c>
      <c r="F3" s="2" t="s">
        <v>1086</v>
      </c>
      <c r="G3" s="2" t="s">
        <v>128</v>
      </c>
      <c r="H3" s="2" t="s">
        <v>409</v>
      </c>
      <c r="I3" s="2" t="s">
        <v>1468</v>
      </c>
      <c r="J3" s="2"/>
    </row>
    <row r="4" spans="1:12" x14ac:dyDescent="0.3">
      <c r="A4" s="53" t="s">
        <v>1600</v>
      </c>
      <c r="B4" s="53" t="s">
        <v>1601</v>
      </c>
      <c r="C4" s="53" t="s">
        <v>1600</v>
      </c>
      <c r="D4" s="2" t="s">
        <v>916</v>
      </c>
      <c r="E4" s="2" t="s">
        <v>915</v>
      </c>
      <c r="F4" s="2" t="s">
        <v>1603</v>
      </c>
      <c r="G4" s="53" t="s">
        <v>1602</v>
      </c>
      <c r="H4" s="53">
        <v>400</v>
      </c>
      <c r="I4" s="2" t="s">
        <v>1468</v>
      </c>
      <c r="J4" s="53"/>
      <c r="K4" s="23" t="s">
        <v>1604</v>
      </c>
      <c r="L4" s="53" t="s">
        <v>1425</v>
      </c>
    </row>
    <row r="5" spans="1:12" x14ac:dyDescent="0.3">
      <c r="A5" s="53" t="s">
        <v>1649</v>
      </c>
      <c r="B5" s="20" t="str">
        <f>CONCATENATE("Выпрямительный диод на ", H5," В, ном. ток ", I5," А")</f>
        <v>Выпрямительный диод на 1000 В, ном. ток 1 А А</v>
      </c>
      <c r="C5" s="20" t="str">
        <f t="shared" ref="C5:C6" si="2">A5</f>
        <v>SMA4007</v>
      </c>
      <c r="D5" s="20" t="s">
        <v>916</v>
      </c>
      <c r="E5" s="20" t="s">
        <v>915</v>
      </c>
      <c r="F5" s="2" t="s">
        <v>1086</v>
      </c>
      <c r="G5" s="2" t="s">
        <v>128</v>
      </c>
      <c r="H5" s="20">
        <v>1000</v>
      </c>
      <c r="I5" s="2" t="s">
        <v>1468</v>
      </c>
      <c r="J5" s="53"/>
      <c r="K5" s="23" t="s">
        <v>1650</v>
      </c>
      <c r="L5" s="53" t="s">
        <v>1450</v>
      </c>
    </row>
    <row r="6" spans="1:12" x14ac:dyDescent="0.3">
      <c r="A6" s="53" t="s">
        <v>1683</v>
      </c>
      <c r="B6" s="53" t="s">
        <v>1684</v>
      </c>
      <c r="C6" s="20" t="str">
        <f t="shared" si="2"/>
        <v>BAV99</v>
      </c>
      <c r="D6" s="20" t="s">
        <v>1686</v>
      </c>
      <c r="E6" s="20" t="s">
        <v>1685</v>
      </c>
      <c r="F6" t="str">
        <f>CONCATENATE("Footprints\",G6,".PcbLib")</f>
        <v>Footprints\SOT23-3.PcbLib</v>
      </c>
      <c r="G6" t="s">
        <v>18</v>
      </c>
      <c r="H6" s="53">
        <v>70</v>
      </c>
      <c r="I6" s="53" t="s">
        <v>1687</v>
      </c>
      <c r="J6" s="53"/>
      <c r="K6" s="23" t="s">
        <v>1688</v>
      </c>
      <c r="L6" s="53" t="s">
        <v>1450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954</v>
      </c>
      <c r="V1" s="1" t="s">
        <v>1424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599</v>
      </c>
      <c r="H2" s="3" t="s">
        <v>37</v>
      </c>
      <c r="I2" s="3" t="s">
        <v>646</v>
      </c>
      <c r="J2" s="3" t="s">
        <v>38</v>
      </c>
      <c r="K2" s="10" t="s">
        <v>648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626</v>
      </c>
      <c r="E3" s="3" t="s">
        <v>39</v>
      </c>
      <c r="F3" s="3" t="s">
        <v>41</v>
      </c>
      <c r="G3" s="3" t="s">
        <v>645</v>
      </c>
      <c r="H3" s="3" t="s">
        <v>121</v>
      </c>
      <c r="I3" s="3" t="s">
        <v>647</v>
      </c>
      <c r="J3" s="3" t="s">
        <v>122</v>
      </c>
      <c r="K3" s="3" t="s">
        <v>649</v>
      </c>
      <c r="L3" s="3" t="s">
        <v>123</v>
      </c>
      <c r="M3" s="3" t="s">
        <v>650</v>
      </c>
      <c r="N3" s="3" t="s">
        <v>124</v>
      </c>
      <c r="O3" s="3" t="s">
        <v>651</v>
      </c>
      <c r="P3" s="3" t="s">
        <v>125</v>
      </c>
      <c r="Q3" s="3" t="s">
        <v>652</v>
      </c>
      <c r="R3" s="2" t="s">
        <v>129</v>
      </c>
      <c r="S3" s="3" t="s">
        <v>689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8"/>
  <sheetViews>
    <sheetView tabSelected="1" topLeftCell="A39" zoomScale="97" zoomScaleNormal="97" workbookViewId="0">
      <selection activeCell="K62" sqref="K62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954</v>
      </c>
      <c r="N1" s="8" t="s">
        <v>1424</v>
      </c>
    </row>
    <row r="2" spans="1:14" x14ac:dyDescent="0.3">
      <c r="A2" s="27" t="s">
        <v>1098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1099</v>
      </c>
      <c r="G2" s="28" t="s">
        <v>1193</v>
      </c>
      <c r="H2" s="28">
        <v>50</v>
      </c>
      <c r="I2" s="28" t="s">
        <v>598</v>
      </c>
      <c r="J2" s="28" t="s">
        <v>599</v>
      </c>
      <c r="K2" s="28" t="s">
        <v>37</v>
      </c>
      <c r="L2" s="28" t="s">
        <v>1100</v>
      </c>
      <c r="M2" s="29"/>
      <c r="N2" s="2" t="s">
        <v>1425</v>
      </c>
    </row>
    <row r="3" spans="1:14" x14ac:dyDescent="0.3">
      <c r="A3" s="2" t="s">
        <v>1174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1175</v>
      </c>
      <c r="G3" s="28" t="s">
        <v>1193</v>
      </c>
      <c r="H3" s="28">
        <v>50</v>
      </c>
      <c r="I3" s="28" t="s">
        <v>598</v>
      </c>
      <c r="J3" s="28" t="s">
        <v>599</v>
      </c>
      <c r="K3" s="28" t="s">
        <v>37</v>
      </c>
      <c r="L3" s="28" t="s">
        <v>1176</v>
      </c>
      <c r="M3" s="2"/>
      <c r="N3" s="2"/>
    </row>
    <row r="4" spans="1:14" x14ac:dyDescent="0.3">
      <c r="A4" s="19" t="s">
        <v>1101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1102</v>
      </c>
      <c r="G4" s="28" t="s">
        <v>1193</v>
      </c>
      <c r="H4" s="20">
        <v>50</v>
      </c>
      <c r="I4" s="20" t="s">
        <v>598</v>
      </c>
      <c r="J4" s="20" t="s">
        <v>599</v>
      </c>
      <c r="K4" s="20" t="s">
        <v>37</v>
      </c>
      <c r="L4" s="20" t="s">
        <v>1103</v>
      </c>
      <c r="M4" s="26"/>
      <c r="N4" s="2"/>
    </row>
    <row r="5" spans="1:14" x14ac:dyDescent="0.3">
      <c r="A5" s="43" t="s">
        <v>1095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1096</v>
      </c>
      <c r="G5" s="46" t="s">
        <v>1193</v>
      </c>
      <c r="H5" s="45">
        <v>50</v>
      </c>
      <c r="I5" s="45" t="s">
        <v>598</v>
      </c>
      <c r="J5" s="45" t="s">
        <v>599</v>
      </c>
      <c r="K5" s="45" t="s">
        <v>37</v>
      </c>
      <c r="L5" s="45" t="s">
        <v>1097</v>
      </c>
      <c r="M5" s="47"/>
      <c r="N5" s="48"/>
    </row>
    <row r="6" spans="1:14" x14ac:dyDescent="0.3">
      <c r="A6" s="2" t="s">
        <v>899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562</v>
      </c>
      <c r="G6" s="28" t="s">
        <v>1193</v>
      </c>
      <c r="H6" s="2">
        <v>50</v>
      </c>
      <c r="I6" s="2" t="s">
        <v>598</v>
      </c>
      <c r="J6" s="2" t="s">
        <v>599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563</v>
      </c>
      <c r="G7" s="28" t="s">
        <v>1193</v>
      </c>
      <c r="H7" s="2">
        <v>50</v>
      </c>
      <c r="I7" s="2" t="s">
        <v>598</v>
      </c>
      <c r="J7" s="2" t="s">
        <v>599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564</v>
      </c>
      <c r="G8" s="28" t="s">
        <v>1193</v>
      </c>
      <c r="H8" s="2">
        <v>50</v>
      </c>
      <c r="I8" s="2" t="s">
        <v>598</v>
      </c>
      <c r="J8" s="2" t="s">
        <v>599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565</v>
      </c>
      <c r="G9" s="28" t="s">
        <v>1193</v>
      </c>
      <c r="H9" s="2">
        <v>50</v>
      </c>
      <c r="I9" s="2" t="s">
        <v>598</v>
      </c>
      <c r="J9" s="2" t="s">
        <v>599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566</v>
      </c>
      <c r="G10" s="28" t="s">
        <v>1193</v>
      </c>
      <c r="H10" s="2">
        <v>50</v>
      </c>
      <c r="I10" s="2" t="s">
        <v>598</v>
      </c>
      <c r="J10" s="2" t="s">
        <v>599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567</v>
      </c>
      <c r="G11" s="28" t="s">
        <v>1193</v>
      </c>
      <c r="H11" s="2">
        <v>50</v>
      </c>
      <c r="I11" s="2" t="s">
        <v>598</v>
      </c>
      <c r="J11" s="2" t="s">
        <v>599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568</v>
      </c>
      <c r="G12" s="28" t="s">
        <v>1193</v>
      </c>
      <c r="H12" s="2">
        <v>50</v>
      </c>
      <c r="I12" s="2" t="s">
        <v>598</v>
      </c>
      <c r="J12" s="2" t="s">
        <v>599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569</v>
      </c>
      <c r="G13" s="28" t="s">
        <v>1193</v>
      </c>
      <c r="H13" s="2">
        <v>50</v>
      </c>
      <c r="I13" s="2" t="s">
        <v>598</v>
      </c>
      <c r="J13" s="2" t="s">
        <v>599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570</v>
      </c>
      <c r="G14" s="28" t="s">
        <v>1193</v>
      </c>
      <c r="H14" s="2">
        <v>50</v>
      </c>
      <c r="I14" s="2" t="s">
        <v>598</v>
      </c>
      <c r="J14" s="2" t="s">
        <v>599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571</v>
      </c>
      <c r="G15" s="28" t="s">
        <v>1193</v>
      </c>
      <c r="H15" s="2">
        <v>50</v>
      </c>
      <c r="I15" s="2" t="s">
        <v>598</v>
      </c>
      <c r="J15" s="2" t="s">
        <v>599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572</v>
      </c>
      <c r="G16" s="28" t="s">
        <v>1193</v>
      </c>
      <c r="H16" s="2">
        <v>50</v>
      </c>
      <c r="I16" s="2" t="s">
        <v>598</v>
      </c>
      <c r="J16" s="2" t="s">
        <v>599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573</v>
      </c>
      <c r="G17" s="28" t="s">
        <v>1193</v>
      </c>
      <c r="H17" s="2">
        <v>50</v>
      </c>
      <c r="I17" s="2" t="s">
        <v>598</v>
      </c>
      <c r="J17" s="2" t="s">
        <v>599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574</v>
      </c>
      <c r="G18" s="28" t="s">
        <v>1193</v>
      </c>
      <c r="H18" s="2">
        <v>50</v>
      </c>
      <c r="I18" s="2" t="s">
        <v>598</v>
      </c>
      <c r="J18" s="2" t="s">
        <v>599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575</v>
      </c>
      <c r="G19" s="28" t="s">
        <v>1193</v>
      </c>
      <c r="H19" s="2">
        <v>50</v>
      </c>
      <c r="I19" s="2" t="s">
        <v>598</v>
      </c>
      <c r="J19" s="2" t="s">
        <v>599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576</v>
      </c>
      <c r="G20" s="28" t="s">
        <v>1193</v>
      </c>
      <c r="H20" s="2">
        <v>50</v>
      </c>
      <c r="I20" s="2" t="s">
        <v>598</v>
      </c>
      <c r="J20" s="2" t="s">
        <v>599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577</v>
      </c>
      <c r="G21" s="28" t="s">
        <v>1193</v>
      </c>
      <c r="H21" s="2">
        <v>50</v>
      </c>
      <c r="I21" s="2" t="s">
        <v>598</v>
      </c>
      <c r="J21" s="2" t="s">
        <v>599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578</v>
      </c>
      <c r="G22" s="28" t="s">
        <v>1193</v>
      </c>
      <c r="H22" s="2">
        <v>50</v>
      </c>
      <c r="I22" s="2" t="s">
        <v>598</v>
      </c>
      <c r="J22" s="2" t="s">
        <v>599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579</v>
      </c>
      <c r="G23" s="28" t="s">
        <v>1193</v>
      </c>
      <c r="H23" s="2">
        <v>50</v>
      </c>
      <c r="I23" s="2" t="s">
        <v>598</v>
      </c>
      <c r="J23" s="2" t="s">
        <v>599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580</v>
      </c>
      <c r="G24" s="28" t="s">
        <v>1193</v>
      </c>
      <c r="H24" s="2">
        <v>50</v>
      </c>
      <c r="I24" s="2" t="s">
        <v>598</v>
      </c>
      <c r="J24" s="2" t="s">
        <v>599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581</v>
      </c>
      <c r="G25" s="28" t="s">
        <v>1193</v>
      </c>
      <c r="H25" s="2">
        <v>50</v>
      </c>
      <c r="I25" s="2" t="s">
        <v>598</v>
      </c>
      <c r="J25" s="2" t="s">
        <v>599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582</v>
      </c>
      <c r="G26" s="28" t="s">
        <v>1193</v>
      </c>
      <c r="H26" s="2">
        <v>50</v>
      </c>
      <c r="I26" s="2" t="s">
        <v>598</v>
      </c>
      <c r="J26" s="2" t="s">
        <v>599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583</v>
      </c>
      <c r="G27" s="28" t="s">
        <v>1193</v>
      </c>
      <c r="H27" s="2">
        <v>50</v>
      </c>
      <c r="I27" s="2" t="s">
        <v>598</v>
      </c>
      <c r="J27" s="2" t="s">
        <v>599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584</v>
      </c>
      <c r="G28" s="28" t="s">
        <v>1193</v>
      </c>
      <c r="H28" s="2">
        <v>50</v>
      </c>
      <c r="I28" s="2" t="s">
        <v>598</v>
      </c>
      <c r="J28" s="2" t="s">
        <v>599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585</v>
      </c>
      <c r="G29" s="28" t="s">
        <v>1193</v>
      </c>
      <c r="H29" s="2">
        <v>50</v>
      </c>
      <c r="I29" s="2" t="s">
        <v>598</v>
      </c>
      <c r="J29" s="2" t="s">
        <v>599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1193</v>
      </c>
      <c r="H30" s="2">
        <v>50</v>
      </c>
      <c r="I30" s="2" t="s">
        <v>598</v>
      </c>
      <c r="J30" s="2" t="s">
        <v>599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586</v>
      </c>
      <c r="G31" s="28" t="s">
        <v>1193</v>
      </c>
      <c r="H31" s="2">
        <v>50</v>
      </c>
      <c r="I31" s="2" t="s">
        <v>598</v>
      </c>
      <c r="J31" s="2" t="s">
        <v>599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587</v>
      </c>
      <c r="G32" s="28" t="s">
        <v>1193</v>
      </c>
      <c r="H32" s="2">
        <v>50</v>
      </c>
      <c r="I32" s="2" t="s">
        <v>598</v>
      </c>
      <c r="J32" s="2" t="s">
        <v>599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588</v>
      </c>
      <c r="G33" s="28" t="s">
        <v>1193</v>
      </c>
      <c r="H33" s="2">
        <v>50</v>
      </c>
      <c r="I33" s="2" t="s">
        <v>598</v>
      </c>
      <c r="J33" s="2" t="s">
        <v>599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589</v>
      </c>
      <c r="G34" s="28" t="s">
        <v>1193</v>
      </c>
      <c r="H34" s="2">
        <v>50</v>
      </c>
      <c r="I34" s="2" t="s">
        <v>598</v>
      </c>
      <c r="J34" s="2" t="s">
        <v>599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590</v>
      </c>
      <c r="G35" s="28" t="s">
        <v>1193</v>
      </c>
      <c r="H35" s="2">
        <v>50</v>
      </c>
      <c r="I35" s="2" t="s">
        <v>598</v>
      </c>
      <c r="J35" s="2" t="s">
        <v>599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591</v>
      </c>
      <c r="G36" s="28" t="s">
        <v>1193</v>
      </c>
      <c r="H36" s="2">
        <v>50</v>
      </c>
      <c r="I36" s="2" t="s">
        <v>598</v>
      </c>
      <c r="J36" s="2" t="s">
        <v>599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592</v>
      </c>
      <c r="G37" s="28" t="s">
        <v>1193</v>
      </c>
      <c r="H37" s="2">
        <v>50</v>
      </c>
      <c r="I37" s="2" t="s">
        <v>598</v>
      </c>
      <c r="J37" s="2" t="s">
        <v>599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593</v>
      </c>
      <c r="G38" s="28" t="s">
        <v>1193</v>
      </c>
      <c r="H38" s="2">
        <v>50</v>
      </c>
      <c r="I38" s="2" t="s">
        <v>598</v>
      </c>
      <c r="J38" s="2" t="s">
        <v>599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594</v>
      </c>
      <c r="G39" s="28" t="s">
        <v>1193</v>
      </c>
      <c r="H39" s="2">
        <v>50</v>
      </c>
      <c r="I39" s="2" t="s">
        <v>598</v>
      </c>
      <c r="J39" s="2" t="s">
        <v>599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595</v>
      </c>
      <c r="G40" s="28" t="s">
        <v>1193</v>
      </c>
      <c r="H40" s="2">
        <v>50</v>
      </c>
      <c r="I40" s="2" t="s">
        <v>598</v>
      </c>
      <c r="J40" s="2" t="s">
        <v>599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596</v>
      </c>
      <c r="G41" s="28" t="s">
        <v>1193</v>
      </c>
      <c r="H41" s="2">
        <v>50</v>
      </c>
      <c r="I41" s="2" t="s">
        <v>598</v>
      </c>
      <c r="J41" s="2" t="s">
        <v>599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1651</v>
      </c>
      <c r="B42" s="34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597</v>
      </c>
      <c r="G42" s="28" t="s">
        <v>1193</v>
      </c>
      <c r="H42" s="2" t="s">
        <v>1598</v>
      </c>
      <c r="I42" s="2" t="s">
        <v>598</v>
      </c>
      <c r="J42" s="2" t="s">
        <v>599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1107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628</v>
      </c>
      <c r="G43" s="28" t="s">
        <v>1193</v>
      </c>
      <c r="H43" s="2">
        <v>50</v>
      </c>
      <c r="I43" s="2" t="s">
        <v>598</v>
      </c>
      <c r="J43" s="2" t="s">
        <v>679</v>
      </c>
      <c r="K43" s="2" t="s">
        <v>680</v>
      </c>
      <c r="L43" s="2" t="s">
        <v>1108</v>
      </c>
      <c r="M43" s="2"/>
      <c r="N43" s="2"/>
    </row>
    <row r="44" spans="1:14" x14ac:dyDescent="0.3">
      <c r="A44" s="2" t="s">
        <v>706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1193</v>
      </c>
      <c r="H44" s="2">
        <v>50</v>
      </c>
      <c r="I44" s="2" t="s">
        <v>598</v>
      </c>
      <c r="J44" s="2" t="s">
        <v>679</v>
      </c>
      <c r="K44" s="2" t="s">
        <v>680</v>
      </c>
      <c r="L44" s="2">
        <v>4700</v>
      </c>
      <c r="M44" s="2"/>
      <c r="N44" s="2"/>
    </row>
    <row r="45" spans="1:14" x14ac:dyDescent="0.3">
      <c r="A45" s="2" t="s">
        <v>708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631</v>
      </c>
      <c r="G45" s="28" t="s">
        <v>1193</v>
      </c>
      <c r="H45" s="2">
        <v>35</v>
      </c>
      <c r="I45" s="2" t="s">
        <v>598</v>
      </c>
      <c r="J45" s="2" t="s">
        <v>681</v>
      </c>
      <c r="K45" s="2" t="s">
        <v>682</v>
      </c>
      <c r="L45" s="2">
        <v>10000</v>
      </c>
      <c r="M45" s="2"/>
      <c r="N45" s="2"/>
    </row>
    <row r="46" spans="1:14" x14ac:dyDescent="0.3">
      <c r="A46" s="2" t="s">
        <v>707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633</v>
      </c>
      <c r="G46" s="28" t="s">
        <v>1193</v>
      </c>
      <c r="H46" s="2">
        <v>25</v>
      </c>
      <c r="I46" s="2" t="s">
        <v>598</v>
      </c>
      <c r="J46" s="2" t="s">
        <v>681</v>
      </c>
      <c r="K46" s="2" t="s">
        <v>682</v>
      </c>
      <c r="L46" s="2">
        <v>22000</v>
      </c>
      <c r="M46" s="2"/>
      <c r="N46" s="2"/>
    </row>
    <row r="47" spans="1:14" x14ac:dyDescent="0.3">
      <c r="A47" s="2" t="s">
        <v>946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1193</v>
      </c>
      <c r="H47" s="2">
        <v>1000</v>
      </c>
      <c r="I47" s="2" t="s">
        <v>598</v>
      </c>
      <c r="J47" s="2" t="s">
        <v>944</v>
      </c>
      <c r="K47" s="2" t="s">
        <v>945</v>
      </c>
      <c r="L47" s="2">
        <v>100</v>
      </c>
      <c r="M47" s="2"/>
      <c r="N47" s="2"/>
    </row>
    <row r="48" spans="1:14" x14ac:dyDescent="0.3">
      <c r="A48" s="2" t="s">
        <v>1402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1403</v>
      </c>
      <c r="G48" s="28" t="s">
        <v>1193</v>
      </c>
      <c r="H48" s="2">
        <v>1000</v>
      </c>
      <c r="I48" s="2" t="s">
        <v>598</v>
      </c>
      <c r="J48" s="2" t="s">
        <v>681</v>
      </c>
      <c r="K48" s="2" t="s">
        <v>682</v>
      </c>
      <c r="L48" s="2" t="s">
        <v>1114</v>
      </c>
      <c r="M48" s="2" t="s">
        <v>1404</v>
      </c>
      <c r="N48" s="2" t="s">
        <v>1425</v>
      </c>
    </row>
    <row r="49" spans="1:14" x14ac:dyDescent="0.3">
      <c r="A49" s="2" t="s">
        <v>1415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1415</v>
      </c>
      <c r="D49" s="2" t="s">
        <v>30</v>
      </c>
      <c r="E49" s="2" t="s">
        <v>27</v>
      </c>
      <c r="F49" s="2" t="s">
        <v>1411</v>
      </c>
      <c r="G49" s="37" t="s">
        <v>1412</v>
      </c>
      <c r="H49" s="2" t="s">
        <v>1413</v>
      </c>
      <c r="I49" s="2" t="s">
        <v>1414</v>
      </c>
      <c r="J49" s="2" t="s">
        <v>599</v>
      </c>
      <c r="K49" s="2" t="s">
        <v>37</v>
      </c>
      <c r="L49" s="2" t="s">
        <v>1416</v>
      </c>
      <c r="M49" s="2" t="s">
        <v>1417</v>
      </c>
      <c r="N49" s="2" t="s">
        <v>1425</v>
      </c>
    </row>
    <row r="50" spans="1:14" x14ac:dyDescent="0.3">
      <c r="A50" s="2" t="s">
        <v>1444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1193</v>
      </c>
      <c r="H50" s="2" t="s">
        <v>384</v>
      </c>
      <c r="I50" s="2" t="s">
        <v>598</v>
      </c>
      <c r="J50" s="2" t="s">
        <v>1443</v>
      </c>
      <c r="K50" s="2" t="s">
        <v>1442</v>
      </c>
      <c r="L50" s="2">
        <v>100</v>
      </c>
      <c r="M50" s="2"/>
      <c r="N50" s="2" t="s">
        <v>1425</v>
      </c>
    </row>
    <row r="51" spans="1:14" x14ac:dyDescent="0.3">
      <c r="A51" s="59" t="s">
        <v>1593</v>
      </c>
      <c r="B51" s="58" t="str">
        <f>CONCATENATE("Конденсатор ",K51," ёмкостью ",F51, " ", G51, ", ",H51," В, ",I51)</f>
        <v>Конденсатор 1210C ёмкостью 100 мк 20%, 16 В, X5R</v>
      </c>
      <c r="C51" s="59" t="s">
        <v>1593</v>
      </c>
      <c r="D51" s="2" t="s">
        <v>30</v>
      </c>
      <c r="E51" s="2" t="s">
        <v>27</v>
      </c>
      <c r="F51" s="2" t="s">
        <v>637</v>
      </c>
      <c r="G51" s="37" t="s">
        <v>1594</v>
      </c>
      <c r="H51" s="2" t="s">
        <v>384</v>
      </c>
      <c r="I51" s="2" t="s">
        <v>1595</v>
      </c>
      <c r="J51" s="2" t="s">
        <v>681</v>
      </c>
      <c r="K51" s="2" t="s">
        <v>682</v>
      </c>
      <c r="L51" s="59" t="s">
        <v>1596</v>
      </c>
      <c r="M51" s="59" t="s">
        <v>1597</v>
      </c>
      <c r="N51" s="2" t="s">
        <v>1425</v>
      </c>
    </row>
    <row r="52" spans="1:14" x14ac:dyDescent="0.3">
      <c r="A52" s="59" t="s">
        <v>1592</v>
      </c>
      <c r="B52" s="58" t="str">
        <f>CONCATENATE("Конденсатор ",K52," ёмкостью ",F52, " ", G52, ", ",H52," В, ",I52)</f>
        <v>Конденсатор 1206C ёмкостью 47 мк 20%, 25 В, X5R</v>
      </c>
      <c r="C52" s="59" t="s">
        <v>1592</v>
      </c>
      <c r="D52" s="2" t="s">
        <v>30</v>
      </c>
      <c r="E52" s="2" t="s">
        <v>27</v>
      </c>
      <c r="F52" s="2" t="s">
        <v>635</v>
      </c>
      <c r="G52" s="37" t="s">
        <v>1594</v>
      </c>
      <c r="H52" s="2" t="s">
        <v>1598</v>
      </c>
      <c r="I52" s="2" t="s">
        <v>1595</v>
      </c>
      <c r="J52" s="2" t="s">
        <v>679</v>
      </c>
      <c r="K52" s="2" t="s">
        <v>680</v>
      </c>
      <c r="L52" s="59" t="s">
        <v>1599</v>
      </c>
      <c r="M52" s="59" t="s">
        <v>1417</v>
      </c>
      <c r="N52" s="2" t="s">
        <v>1425</v>
      </c>
    </row>
    <row r="53" spans="1:14" x14ac:dyDescent="0.3">
      <c r="A53" s="2" t="s">
        <v>1655</v>
      </c>
      <c r="B53" s="60" t="str">
        <f t="shared" ref="B53" si="2">CONCATENATE("Конденсатор ",K53," ёмкостью ",F53, " ", G53, ", ",H53," В, ",I53)</f>
        <v>Конденсатор 0603C ёмкостью 1 н 5%, 50 В, NP0</v>
      </c>
      <c r="C53" s="59" t="s">
        <v>27</v>
      </c>
      <c r="D53" s="59" t="s">
        <v>30</v>
      </c>
      <c r="E53" s="59" t="s">
        <v>27</v>
      </c>
      <c r="F53" s="59" t="s">
        <v>562</v>
      </c>
      <c r="G53" s="37" t="s">
        <v>1412</v>
      </c>
      <c r="H53" s="59">
        <v>50</v>
      </c>
      <c r="I53" s="59" t="s">
        <v>1414</v>
      </c>
      <c r="J53" s="59" t="s">
        <v>599</v>
      </c>
      <c r="K53" s="59" t="s">
        <v>37</v>
      </c>
      <c r="L53" s="59">
        <v>1</v>
      </c>
      <c r="M53" s="59"/>
      <c r="N53" s="59" t="s">
        <v>1450</v>
      </c>
    </row>
    <row r="54" spans="1:14" x14ac:dyDescent="0.3">
      <c r="A54" s="59" t="s">
        <v>1656</v>
      </c>
      <c r="B54" s="60" t="str">
        <f t="shared" ref="B54:B55" si="3">CONCATENATE("Конденсатор ",K54," ёмкостью ",F54, " ", G54, ", ",H54," В, ",I54)</f>
        <v>Конденсатор 0603C ёмкостью 3,3 н 5%, 50 В, NP0</v>
      </c>
      <c r="C54" s="59" t="s">
        <v>27</v>
      </c>
      <c r="D54" s="59" t="s">
        <v>30</v>
      </c>
      <c r="E54" s="59" t="s">
        <v>27</v>
      </c>
      <c r="F54" s="59" t="s">
        <v>568</v>
      </c>
      <c r="G54" s="37" t="s">
        <v>1412</v>
      </c>
      <c r="H54" s="59">
        <v>50</v>
      </c>
      <c r="I54" s="59" t="s">
        <v>1414</v>
      </c>
      <c r="J54" s="59" t="s">
        <v>599</v>
      </c>
      <c r="K54" s="59" t="s">
        <v>37</v>
      </c>
      <c r="L54" s="59" t="s">
        <v>374</v>
      </c>
      <c r="M54" s="59"/>
      <c r="N54" s="59" t="s">
        <v>1450</v>
      </c>
    </row>
    <row r="55" spans="1:14" x14ac:dyDescent="0.3">
      <c r="A55" s="59" t="s">
        <v>1660</v>
      </c>
      <c r="B55" s="60" t="str">
        <f t="shared" si="3"/>
        <v>Конденсатор 0603C ёмкостью 10 мк 10%, 10 В, X7R</v>
      </c>
      <c r="C55" s="59" t="s">
        <v>27</v>
      </c>
      <c r="D55" s="59" t="s">
        <v>30</v>
      </c>
      <c r="E55" s="59" t="s">
        <v>27</v>
      </c>
      <c r="F55" s="59" t="s">
        <v>631</v>
      </c>
      <c r="G55" s="37" t="s">
        <v>1193</v>
      </c>
      <c r="H55" s="59" t="s">
        <v>379</v>
      </c>
      <c r="I55" s="59" t="s">
        <v>598</v>
      </c>
      <c r="J55" s="59" t="s">
        <v>681</v>
      </c>
      <c r="K55" s="59" t="s">
        <v>37</v>
      </c>
      <c r="L55" s="59">
        <v>10000</v>
      </c>
      <c r="M55" s="64" t="s">
        <v>1661</v>
      </c>
      <c r="N55" s="59" t="s">
        <v>1450</v>
      </c>
    </row>
    <row r="56" spans="1:14" x14ac:dyDescent="0.3">
      <c r="A56" s="59" t="s">
        <v>1662</v>
      </c>
      <c r="B56" s="60" t="str">
        <f t="shared" ref="B56" si="4">CONCATENATE("Конденсатор ",K56," ёмкостью ",F56, " ", G56, ", ",H56," В, ",I56)</f>
        <v>Конденсатор 0603C ёмкостью 12 п 5%, 50 В, NP0</v>
      </c>
      <c r="C56" s="59" t="s">
        <v>27</v>
      </c>
      <c r="D56" s="59" t="s">
        <v>30</v>
      </c>
      <c r="E56" s="59" t="s">
        <v>27</v>
      </c>
      <c r="F56" s="59" t="s">
        <v>1663</v>
      </c>
      <c r="G56" s="37" t="s">
        <v>1412</v>
      </c>
      <c r="H56" s="59">
        <v>50</v>
      </c>
      <c r="I56" s="59" t="s">
        <v>1414</v>
      </c>
      <c r="J56" s="59" t="s">
        <v>599</v>
      </c>
      <c r="K56" s="59" t="s">
        <v>37</v>
      </c>
      <c r="L56" s="59" t="s">
        <v>1664</v>
      </c>
      <c r="M56" s="59"/>
      <c r="N56" s="59" t="s">
        <v>1450</v>
      </c>
    </row>
    <row r="57" spans="1:14" x14ac:dyDescent="0.3">
      <c r="A57" s="59" t="s">
        <v>1679</v>
      </c>
      <c r="B57" s="53" t="str">
        <f>CONCATENATE("Конденсатор ",K57," ёмкостью ",F57, " ", G57, ", ",H57," В, ",I57)</f>
        <v>Конденсатор 1206C ёмкостью 100 п 5%, 630 В, NP0</v>
      </c>
      <c r="C57" s="59" t="s">
        <v>27</v>
      </c>
      <c r="D57" s="59" t="s">
        <v>30</v>
      </c>
      <c r="E57" s="59" t="s">
        <v>27</v>
      </c>
      <c r="F57" s="2" t="s">
        <v>1175</v>
      </c>
      <c r="G57" s="37" t="s">
        <v>1412</v>
      </c>
      <c r="H57" s="2" t="s">
        <v>1680</v>
      </c>
      <c r="I57" s="59" t="s">
        <v>1414</v>
      </c>
      <c r="J57" s="59" t="s">
        <v>599</v>
      </c>
      <c r="K57" s="59" t="s">
        <v>680</v>
      </c>
      <c r="L57" s="2" t="s">
        <v>1176</v>
      </c>
      <c r="M57" s="2"/>
      <c r="N57" s="59" t="s">
        <v>1450</v>
      </c>
    </row>
    <row r="58" spans="1:14" x14ac:dyDescent="0.3">
      <c r="A58" s="59" t="s">
        <v>1729</v>
      </c>
      <c r="B58" s="58" t="str">
        <f>CONCATENATE("Конденсатор ",K58," ёмкостью ",F58, " ", G58, ", ",H58," В, ",I58)</f>
        <v>Конденсатор 0603C ёмкостью 56 п 5%, 630 В, NP0</v>
      </c>
      <c r="C58" s="59" t="s">
        <v>1729</v>
      </c>
      <c r="D58" s="59" t="s">
        <v>30</v>
      </c>
      <c r="E58" s="59" t="s">
        <v>27</v>
      </c>
      <c r="F58" s="59" t="s">
        <v>1730</v>
      </c>
      <c r="G58" s="37" t="s">
        <v>1412</v>
      </c>
      <c r="H58" s="59" t="s">
        <v>1680</v>
      </c>
      <c r="I58" s="59" t="s">
        <v>1414</v>
      </c>
      <c r="J58" s="59" t="s">
        <v>599</v>
      </c>
      <c r="K58" s="59" t="s">
        <v>37</v>
      </c>
      <c r="L58" s="59" t="s">
        <v>1731</v>
      </c>
      <c r="M58" s="38" t="s">
        <v>1732</v>
      </c>
      <c r="N58" s="59" t="s">
        <v>1707</v>
      </c>
    </row>
  </sheetData>
  <phoneticPr fontId="8" type="noConversion"/>
  <hyperlinks>
    <hyperlink ref="M55" r:id="rId1" xr:uid="{673C660B-FA6E-4106-87E2-F10B6C5DDF22}"/>
    <hyperlink ref="M58" r:id="rId2" display="https://static.chipdip.ru/lib/235/DOC000235066.pdf" xr:uid="{43DB363B-3457-4407-8A50-36BCF9263E11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605</v>
      </c>
      <c r="J1" s="6" t="s">
        <v>12</v>
      </c>
      <c r="K1" s="6" t="s">
        <v>8</v>
      </c>
      <c r="L1" s="9" t="s">
        <v>604</v>
      </c>
      <c r="M1" s="6" t="s">
        <v>13</v>
      </c>
      <c r="N1" s="6" t="s">
        <v>9</v>
      </c>
      <c r="O1" s="8" t="s">
        <v>954</v>
      </c>
      <c r="P1" s="8" t="s">
        <v>1424</v>
      </c>
    </row>
    <row r="2" spans="1:16" x14ac:dyDescent="0.3">
      <c r="A2" s="2" t="s">
        <v>606</v>
      </c>
      <c r="B2" s="2" t="s">
        <v>625</v>
      </c>
      <c r="C2" s="2" t="s">
        <v>27</v>
      </c>
      <c r="D2" s="2" t="s">
        <v>626</v>
      </c>
      <c r="E2" s="2" t="s">
        <v>39</v>
      </c>
      <c r="F2" s="2" t="s">
        <v>597</v>
      </c>
      <c r="G2">
        <v>0.1</v>
      </c>
      <c r="H2">
        <v>50</v>
      </c>
      <c r="I2" s="2" t="s">
        <v>644</v>
      </c>
      <c r="J2" s="2" t="s">
        <v>645</v>
      </c>
      <c r="K2" s="2" t="s">
        <v>121</v>
      </c>
      <c r="L2">
        <v>1</v>
      </c>
    </row>
    <row r="3" spans="1:16" x14ac:dyDescent="0.3">
      <c r="A3" s="2" t="s">
        <v>607</v>
      </c>
      <c r="B3" s="2" t="s">
        <v>625</v>
      </c>
      <c r="C3" s="2" t="s">
        <v>27</v>
      </c>
      <c r="D3" s="2" t="s">
        <v>626</v>
      </c>
      <c r="E3" s="2" t="s">
        <v>39</v>
      </c>
      <c r="F3" s="2" t="s">
        <v>627</v>
      </c>
      <c r="G3">
        <v>0.1</v>
      </c>
      <c r="H3">
        <v>50</v>
      </c>
      <c r="I3" s="2" t="s">
        <v>644</v>
      </c>
      <c r="J3" s="2" t="s">
        <v>645</v>
      </c>
      <c r="K3" s="2" t="s">
        <v>121</v>
      </c>
      <c r="L3">
        <v>1.5</v>
      </c>
    </row>
    <row r="4" spans="1:16" x14ac:dyDescent="0.3">
      <c r="A4" s="2" t="s">
        <v>608</v>
      </c>
      <c r="B4" s="2" t="s">
        <v>625</v>
      </c>
      <c r="C4" s="2" t="s">
        <v>27</v>
      </c>
      <c r="D4" s="2" t="s">
        <v>626</v>
      </c>
      <c r="E4" s="2" t="s">
        <v>39</v>
      </c>
      <c r="F4" s="2" t="s">
        <v>628</v>
      </c>
      <c r="G4">
        <v>0.1</v>
      </c>
      <c r="H4">
        <v>50</v>
      </c>
      <c r="I4" s="2" t="s">
        <v>644</v>
      </c>
      <c r="J4" s="2" t="s">
        <v>645</v>
      </c>
      <c r="K4" s="2" t="s">
        <v>121</v>
      </c>
      <c r="L4">
        <v>2.2000000000000002</v>
      </c>
    </row>
    <row r="5" spans="1:16" x14ac:dyDescent="0.3">
      <c r="A5" s="2" t="s">
        <v>609</v>
      </c>
      <c r="B5" s="2" t="s">
        <v>625</v>
      </c>
      <c r="C5" s="2" t="s">
        <v>27</v>
      </c>
      <c r="D5" s="2" t="s">
        <v>626</v>
      </c>
      <c r="E5" s="2" t="s">
        <v>39</v>
      </c>
      <c r="F5" s="2" t="s">
        <v>629</v>
      </c>
      <c r="G5">
        <v>0.1</v>
      </c>
      <c r="H5">
        <v>50</v>
      </c>
      <c r="I5" s="2" t="s">
        <v>644</v>
      </c>
      <c r="J5" s="2" t="s">
        <v>645</v>
      </c>
      <c r="K5" s="2" t="s">
        <v>121</v>
      </c>
      <c r="L5">
        <v>3.3</v>
      </c>
    </row>
    <row r="6" spans="1:16" x14ac:dyDescent="0.3">
      <c r="A6" s="2" t="s">
        <v>610</v>
      </c>
      <c r="B6" s="2" t="s">
        <v>625</v>
      </c>
      <c r="C6" s="2" t="s">
        <v>27</v>
      </c>
      <c r="D6" s="2" t="s">
        <v>626</v>
      </c>
      <c r="E6" s="2" t="s">
        <v>39</v>
      </c>
      <c r="F6" s="2" t="s">
        <v>41</v>
      </c>
      <c r="G6">
        <v>0.1</v>
      </c>
      <c r="H6">
        <v>50</v>
      </c>
      <c r="I6" s="2" t="s">
        <v>644</v>
      </c>
      <c r="J6" s="2" t="s">
        <v>645</v>
      </c>
      <c r="K6" s="2" t="s">
        <v>121</v>
      </c>
      <c r="L6">
        <v>4.7</v>
      </c>
    </row>
    <row r="7" spans="1:16" x14ac:dyDescent="0.3">
      <c r="A7" s="2" t="s">
        <v>611</v>
      </c>
      <c r="B7" s="2" t="s">
        <v>625</v>
      </c>
      <c r="C7" s="2" t="s">
        <v>27</v>
      </c>
      <c r="D7" s="2" t="s">
        <v>626</v>
      </c>
      <c r="E7" s="2" t="s">
        <v>39</v>
      </c>
      <c r="F7" s="2" t="s">
        <v>630</v>
      </c>
      <c r="G7">
        <v>0.1</v>
      </c>
      <c r="H7">
        <v>50</v>
      </c>
      <c r="I7" s="2" t="s">
        <v>644</v>
      </c>
      <c r="J7" s="2" t="s">
        <v>645</v>
      </c>
      <c r="K7" s="2" t="s">
        <v>121</v>
      </c>
      <c r="L7">
        <v>6.8</v>
      </c>
    </row>
    <row r="8" spans="1:16" x14ac:dyDescent="0.3">
      <c r="A8" s="2" t="s">
        <v>612</v>
      </c>
      <c r="B8" s="2" t="s">
        <v>625</v>
      </c>
      <c r="C8" s="2" t="s">
        <v>27</v>
      </c>
      <c r="D8" s="2" t="s">
        <v>626</v>
      </c>
      <c r="E8" s="2" t="s">
        <v>39</v>
      </c>
      <c r="F8" s="2" t="s">
        <v>631</v>
      </c>
      <c r="G8">
        <v>0.1</v>
      </c>
      <c r="H8">
        <v>50</v>
      </c>
      <c r="I8" s="2" t="s">
        <v>644</v>
      </c>
      <c r="J8" s="2" t="s">
        <v>645</v>
      </c>
      <c r="K8" s="2" t="s">
        <v>121</v>
      </c>
      <c r="L8">
        <v>10</v>
      </c>
    </row>
    <row r="9" spans="1:16" x14ac:dyDescent="0.3">
      <c r="A9" s="2" t="s">
        <v>613</v>
      </c>
      <c r="B9" s="2" t="s">
        <v>625</v>
      </c>
      <c r="C9" s="2" t="s">
        <v>27</v>
      </c>
      <c r="D9" s="2" t="s">
        <v>626</v>
      </c>
      <c r="E9" s="2" t="s">
        <v>39</v>
      </c>
      <c r="F9" s="2" t="s">
        <v>632</v>
      </c>
      <c r="G9">
        <v>0.1</v>
      </c>
      <c r="H9">
        <v>50</v>
      </c>
      <c r="I9" s="2" t="s">
        <v>644</v>
      </c>
      <c r="J9" s="2" t="s">
        <v>645</v>
      </c>
      <c r="K9" s="2" t="s">
        <v>121</v>
      </c>
      <c r="L9">
        <v>15</v>
      </c>
    </row>
    <row r="10" spans="1:16" x14ac:dyDescent="0.3">
      <c r="A10" s="2" t="s">
        <v>614</v>
      </c>
      <c r="B10" s="2" t="s">
        <v>625</v>
      </c>
      <c r="C10" s="2" t="s">
        <v>27</v>
      </c>
      <c r="D10" s="2" t="s">
        <v>626</v>
      </c>
      <c r="E10" s="2" t="s">
        <v>39</v>
      </c>
      <c r="F10" s="2" t="s">
        <v>633</v>
      </c>
      <c r="G10">
        <v>0.1</v>
      </c>
      <c r="H10">
        <v>50</v>
      </c>
      <c r="I10" s="2" t="s">
        <v>644</v>
      </c>
      <c r="J10" s="2" t="s">
        <v>645</v>
      </c>
      <c r="K10" s="2" t="s">
        <v>121</v>
      </c>
      <c r="L10">
        <v>22</v>
      </c>
    </row>
    <row r="11" spans="1:16" x14ac:dyDescent="0.3">
      <c r="A11" s="2" t="s">
        <v>615</v>
      </c>
      <c r="B11" s="2" t="s">
        <v>625</v>
      </c>
      <c r="C11" s="2" t="s">
        <v>27</v>
      </c>
      <c r="D11" s="2" t="s">
        <v>626</v>
      </c>
      <c r="E11" s="2" t="s">
        <v>39</v>
      </c>
      <c r="F11" s="2" t="s">
        <v>634</v>
      </c>
      <c r="G11">
        <v>0.1</v>
      </c>
      <c r="H11">
        <v>50</v>
      </c>
      <c r="I11" s="2" t="s">
        <v>644</v>
      </c>
      <c r="J11" s="2" t="s">
        <v>645</v>
      </c>
      <c r="K11" s="2" t="s">
        <v>121</v>
      </c>
      <c r="L11">
        <v>33</v>
      </c>
    </row>
    <row r="12" spans="1:16" x14ac:dyDescent="0.3">
      <c r="A12" s="2" t="s">
        <v>616</v>
      </c>
      <c r="B12" s="2" t="s">
        <v>625</v>
      </c>
      <c r="C12" s="2" t="s">
        <v>27</v>
      </c>
      <c r="D12" s="2" t="s">
        <v>626</v>
      </c>
      <c r="E12" s="2" t="s">
        <v>39</v>
      </c>
      <c r="F12" s="2" t="s">
        <v>635</v>
      </c>
      <c r="G12">
        <v>0.1</v>
      </c>
      <c r="H12">
        <v>50</v>
      </c>
      <c r="I12" s="2" t="s">
        <v>644</v>
      </c>
      <c r="J12" s="2" t="s">
        <v>645</v>
      </c>
      <c r="K12" s="2" t="s">
        <v>121</v>
      </c>
      <c r="L12">
        <v>47</v>
      </c>
    </row>
    <row r="13" spans="1:16" x14ac:dyDescent="0.3">
      <c r="A13" s="2" t="s">
        <v>617</v>
      </c>
      <c r="B13" s="2" t="s">
        <v>625</v>
      </c>
      <c r="C13" s="2" t="s">
        <v>27</v>
      </c>
      <c r="D13" s="2" t="s">
        <v>626</v>
      </c>
      <c r="E13" s="2" t="s">
        <v>39</v>
      </c>
      <c r="F13" s="2" t="s">
        <v>636</v>
      </c>
      <c r="G13">
        <v>0.1</v>
      </c>
      <c r="H13">
        <v>50</v>
      </c>
      <c r="I13" s="2" t="s">
        <v>644</v>
      </c>
      <c r="J13" s="2" t="s">
        <v>645</v>
      </c>
      <c r="K13" s="2" t="s">
        <v>121</v>
      </c>
      <c r="L13">
        <v>68</v>
      </c>
    </row>
    <row r="14" spans="1:16" x14ac:dyDescent="0.3">
      <c r="A14" s="2" t="s">
        <v>618</v>
      </c>
      <c r="B14" s="2" t="s">
        <v>625</v>
      </c>
      <c r="C14" s="2" t="s">
        <v>27</v>
      </c>
      <c r="D14" s="2" t="s">
        <v>626</v>
      </c>
      <c r="E14" s="2" t="s">
        <v>39</v>
      </c>
      <c r="F14" s="2" t="s">
        <v>637</v>
      </c>
      <c r="G14">
        <v>0.1</v>
      </c>
      <c r="H14">
        <v>50</v>
      </c>
      <c r="I14" s="2" t="s">
        <v>644</v>
      </c>
      <c r="J14" s="2" t="s">
        <v>645</v>
      </c>
      <c r="K14" s="2" t="s">
        <v>121</v>
      </c>
      <c r="L14">
        <v>100</v>
      </c>
    </row>
    <row r="15" spans="1:16" x14ac:dyDescent="0.3">
      <c r="A15" s="2" t="s">
        <v>619</v>
      </c>
      <c r="B15" s="2" t="s">
        <v>625</v>
      </c>
      <c r="C15" s="2" t="s">
        <v>27</v>
      </c>
      <c r="D15" s="2" t="s">
        <v>626</v>
      </c>
      <c r="E15" s="2" t="s">
        <v>39</v>
      </c>
      <c r="F15" s="2" t="s">
        <v>638</v>
      </c>
      <c r="G15">
        <v>0.1</v>
      </c>
      <c r="H15">
        <v>50</v>
      </c>
      <c r="I15" s="2" t="s">
        <v>644</v>
      </c>
      <c r="J15" s="2" t="s">
        <v>645</v>
      </c>
      <c r="K15" s="2" t="s">
        <v>121</v>
      </c>
      <c r="L15">
        <v>150</v>
      </c>
    </row>
    <row r="16" spans="1:16" x14ac:dyDescent="0.3">
      <c r="A16" s="2" t="s">
        <v>620</v>
      </c>
      <c r="B16" s="2" t="s">
        <v>625</v>
      </c>
      <c r="C16" s="2" t="s">
        <v>27</v>
      </c>
      <c r="D16" s="2" t="s">
        <v>626</v>
      </c>
      <c r="E16" s="2" t="s">
        <v>39</v>
      </c>
      <c r="F16" s="2" t="s">
        <v>639</v>
      </c>
      <c r="G16">
        <v>0.1</v>
      </c>
      <c r="H16">
        <v>50</v>
      </c>
      <c r="I16" s="2" t="s">
        <v>644</v>
      </c>
      <c r="J16" s="2" t="s">
        <v>645</v>
      </c>
      <c r="K16" s="2" t="s">
        <v>121</v>
      </c>
      <c r="L16">
        <v>220</v>
      </c>
    </row>
    <row r="17" spans="1:16" x14ac:dyDescent="0.3">
      <c r="A17" s="2" t="s">
        <v>621</v>
      </c>
      <c r="B17" s="2" t="s">
        <v>625</v>
      </c>
      <c r="C17" s="2" t="s">
        <v>27</v>
      </c>
      <c r="D17" s="2" t="s">
        <v>626</v>
      </c>
      <c r="E17" s="2" t="s">
        <v>39</v>
      </c>
      <c r="F17" s="2" t="s">
        <v>640</v>
      </c>
      <c r="G17">
        <v>0.1</v>
      </c>
      <c r="H17">
        <v>50</v>
      </c>
      <c r="I17" s="2" t="s">
        <v>644</v>
      </c>
      <c r="J17" s="2" t="s">
        <v>645</v>
      </c>
      <c r="K17" s="2" t="s">
        <v>121</v>
      </c>
      <c r="L17">
        <v>330</v>
      </c>
    </row>
    <row r="18" spans="1:16" x14ac:dyDescent="0.3">
      <c r="A18" s="2" t="s">
        <v>622</v>
      </c>
      <c r="B18" s="2" t="s">
        <v>625</v>
      </c>
      <c r="C18" s="2" t="s">
        <v>27</v>
      </c>
      <c r="D18" s="2" t="s">
        <v>626</v>
      </c>
      <c r="E18" s="2" t="s">
        <v>39</v>
      </c>
      <c r="F18" s="2" t="s">
        <v>641</v>
      </c>
      <c r="G18">
        <v>0.1</v>
      </c>
      <c r="H18">
        <v>50</v>
      </c>
      <c r="I18" s="2" t="s">
        <v>644</v>
      </c>
      <c r="J18" s="2" t="s">
        <v>645</v>
      </c>
      <c r="K18" s="2" t="s">
        <v>121</v>
      </c>
      <c r="L18">
        <v>470</v>
      </c>
    </row>
    <row r="19" spans="1:16" x14ac:dyDescent="0.3">
      <c r="A19" s="2" t="s">
        <v>623</v>
      </c>
      <c r="B19" s="2" t="s">
        <v>625</v>
      </c>
      <c r="C19" s="2" t="s">
        <v>27</v>
      </c>
      <c r="D19" s="2" t="s">
        <v>626</v>
      </c>
      <c r="E19" s="2" t="s">
        <v>39</v>
      </c>
      <c r="F19" s="2" t="s">
        <v>642</v>
      </c>
      <c r="G19">
        <v>0.1</v>
      </c>
      <c r="H19">
        <v>50</v>
      </c>
      <c r="I19" s="2" t="s">
        <v>644</v>
      </c>
      <c r="J19" s="2" t="s">
        <v>645</v>
      </c>
      <c r="K19" s="2" t="s">
        <v>121</v>
      </c>
      <c r="L19">
        <v>680</v>
      </c>
    </row>
    <row r="20" spans="1:16" x14ac:dyDescent="0.3">
      <c r="A20" s="2" t="s">
        <v>624</v>
      </c>
      <c r="B20" s="2" t="s">
        <v>625</v>
      </c>
      <c r="C20" s="2" t="s">
        <v>27</v>
      </c>
      <c r="D20" s="2" t="s">
        <v>626</v>
      </c>
      <c r="E20" s="2" t="s">
        <v>39</v>
      </c>
      <c r="F20" s="2" t="s">
        <v>643</v>
      </c>
      <c r="G20">
        <v>0.1</v>
      </c>
      <c r="H20">
        <v>50</v>
      </c>
      <c r="I20" s="2" t="s">
        <v>644</v>
      </c>
      <c r="J20" s="2" t="s">
        <v>645</v>
      </c>
      <c r="K20" s="2" t="s">
        <v>121</v>
      </c>
      <c r="L20">
        <v>1000</v>
      </c>
    </row>
    <row r="21" spans="1:16" x14ac:dyDescent="0.3">
      <c r="A21" s="2" t="s">
        <v>734</v>
      </c>
      <c r="B21" t="s">
        <v>730</v>
      </c>
      <c r="C21" s="2" t="s">
        <v>27</v>
      </c>
      <c r="D21" s="2" t="s">
        <v>626</v>
      </c>
      <c r="E21" s="2" t="s">
        <v>39</v>
      </c>
      <c r="F21" s="2" t="s">
        <v>731</v>
      </c>
      <c r="G21">
        <v>20</v>
      </c>
      <c r="H21">
        <v>10</v>
      </c>
      <c r="I21" t="s">
        <v>732</v>
      </c>
      <c r="J21" s="2" t="s">
        <v>733</v>
      </c>
      <c r="K21" t="s">
        <v>729</v>
      </c>
      <c r="L21">
        <v>2200</v>
      </c>
      <c r="M21" s="2" t="s">
        <v>785</v>
      </c>
      <c r="N21" t="s">
        <v>786</v>
      </c>
    </row>
    <row r="22" spans="1:16" x14ac:dyDescent="0.3">
      <c r="A22" t="s">
        <v>740</v>
      </c>
      <c r="B22" t="s">
        <v>741</v>
      </c>
      <c r="C22" s="2" t="s">
        <v>27</v>
      </c>
      <c r="D22" s="2" t="s">
        <v>626</v>
      </c>
      <c r="E22" s="2" t="s">
        <v>39</v>
      </c>
      <c r="F22" s="2" t="s">
        <v>643</v>
      </c>
      <c r="G22">
        <v>20</v>
      </c>
      <c r="H22">
        <v>25</v>
      </c>
      <c r="I22" t="s">
        <v>897</v>
      </c>
      <c r="J22" s="2" t="s">
        <v>742</v>
      </c>
      <c r="K22" t="s">
        <v>743</v>
      </c>
      <c r="L22">
        <v>1000</v>
      </c>
      <c r="P22" t="s">
        <v>1425</v>
      </c>
    </row>
    <row r="23" spans="1:16" x14ac:dyDescent="0.3">
      <c r="A23" t="s">
        <v>898</v>
      </c>
      <c r="B23" t="s">
        <v>741</v>
      </c>
      <c r="C23" s="2" t="s">
        <v>27</v>
      </c>
      <c r="D23" s="2" t="s">
        <v>626</v>
      </c>
      <c r="E23" s="2" t="s">
        <v>39</v>
      </c>
      <c r="F23" s="2" t="s">
        <v>643</v>
      </c>
      <c r="G23">
        <v>20</v>
      </c>
      <c r="H23">
        <v>35</v>
      </c>
      <c r="I23" t="s">
        <v>897</v>
      </c>
      <c r="J23" s="2" t="s">
        <v>896</v>
      </c>
      <c r="K23" t="s">
        <v>895</v>
      </c>
      <c r="L23">
        <v>1000</v>
      </c>
      <c r="P23" t="s">
        <v>1425</v>
      </c>
    </row>
    <row r="24" spans="1:16" x14ac:dyDescent="0.3">
      <c r="A24" t="s">
        <v>921</v>
      </c>
      <c r="B24" t="s">
        <v>922</v>
      </c>
      <c r="C24" s="2" t="s">
        <v>27</v>
      </c>
      <c r="D24" s="2" t="s">
        <v>626</v>
      </c>
      <c r="E24" s="2" t="s">
        <v>39</v>
      </c>
      <c r="F24" t="s">
        <v>923</v>
      </c>
      <c r="G24">
        <v>20</v>
      </c>
      <c r="H24">
        <v>400</v>
      </c>
      <c r="I24" t="s">
        <v>732</v>
      </c>
      <c r="J24" s="2" t="s">
        <v>927</v>
      </c>
      <c r="K24" t="s">
        <v>928</v>
      </c>
      <c r="L24">
        <v>3.3</v>
      </c>
      <c r="M24" s="2" t="s">
        <v>926</v>
      </c>
      <c r="N24" t="s">
        <v>925</v>
      </c>
      <c r="P24" t="s">
        <v>1425</v>
      </c>
    </row>
    <row r="25" spans="1:16" x14ac:dyDescent="0.3">
      <c r="A25" t="s">
        <v>969</v>
      </c>
      <c r="B25" t="s">
        <v>970</v>
      </c>
      <c r="C25" s="2" t="s">
        <v>27</v>
      </c>
      <c r="D25" s="2" t="s">
        <v>626</v>
      </c>
      <c r="E25" s="2" t="s">
        <v>39</v>
      </c>
      <c r="F25" t="s">
        <v>971</v>
      </c>
      <c r="G25">
        <v>20</v>
      </c>
      <c r="H25">
        <v>400</v>
      </c>
      <c r="I25" t="s">
        <v>732</v>
      </c>
      <c r="J25" s="2" t="s">
        <v>973</v>
      </c>
      <c r="K25" t="s">
        <v>972</v>
      </c>
      <c r="L25">
        <v>2700</v>
      </c>
      <c r="P25" t="s">
        <v>1425</v>
      </c>
    </row>
    <row r="26" spans="1:16" x14ac:dyDescent="0.3">
      <c r="A26" t="s">
        <v>1134</v>
      </c>
      <c r="B26" t="s">
        <v>741</v>
      </c>
      <c r="C26" t="s">
        <v>27</v>
      </c>
      <c r="D26" t="s">
        <v>626</v>
      </c>
      <c r="E26" t="s">
        <v>39</v>
      </c>
      <c r="F26" t="s">
        <v>640</v>
      </c>
      <c r="G26">
        <v>20</v>
      </c>
      <c r="H26">
        <v>35</v>
      </c>
      <c r="I26" t="s">
        <v>897</v>
      </c>
      <c r="J26" t="s">
        <v>1135</v>
      </c>
      <c r="K26" t="s">
        <v>1136</v>
      </c>
      <c r="L26">
        <v>330</v>
      </c>
    </row>
    <row r="27" spans="1:16" x14ac:dyDescent="0.3">
      <c r="A27" t="s">
        <v>1137</v>
      </c>
      <c r="B27" t="s">
        <v>1138</v>
      </c>
      <c r="C27" t="s">
        <v>27</v>
      </c>
      <c r="D27" t="s">
        <v>626</v>
      </c>
      <c r="E27" t="s">
        <v>39</v>
      </c>
      <c r="F27" t="s">
        <v>637</v>
      </c>
      <c r="G27">
        <v>20</v>
      </c>
      <c r="H27">
        <v>35</v>
      </c>
      <c r="I27" t="s">
        <v>897</v>
      </c>
      <c r="J27" t="s">
        <v>1139</v>
      </c>
      <c r="K27" t="s">
        <v>1140</v>
      </c>
      <c r="L27">
        <v>100</v>
      </c>
    </row>
    <row r="28" spans="1:16" x14ac:dyDescent="0.3">
      <c r="A28" t="s">
        <v>1428</v>
      </c>
      <c r="B28" t="s">
        <v>1429</v>
      </c>
      <c r="D28" t="s">
        <v>626</v>
      </c>
      <c r="E28" t="s">
        <v>39</v>
      </c>
      <c r="F28" t="s">
        <v>641</v>
      </c>
      <c r="G28">
        <v>20</v>
      </c>
      <c r="H28">
        <v>16</v>
      </c>
      <c r="I28" t="s">
        <v>897</v>
      </c>
      <c r="J28" t="s">
        <v>1135</v>
      </c>
      <c r="K28" t="s">
        <v>1136</v>
      </c>
      <c r="L28">
        <v>470</v>
      </c>
      <c r="O28" t="s">
        <v>1430</v>
      </c>
      <c r="P28" t="s">
        <v>1425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topLeftCell="B1" zoomScale="85" zoomScaleNormal="85" workbookViewId="0">
      <selection activeCell="I36" sqref="I36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660</v>
      </c>
      <c r="O1" s="1" t="s">
        <v>1458</v>
      </c>
      <c r="P1" s="1" t="s">
        <v>25</v>
      </c>
      <c r="Q1" s="1" t="s">
        <v>954</v>
      </c>
      <c r="R1" s="49" t="s">
        <v>1424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1469</v>
      </c>
      <c r="P3" s="2" t="str">
        <f t="shared" ref="P3:P13" si="2">CONCATENATE(N3, " мк")</f>
        <v>33 мк</v>
      </c>
    </row>
    <row r="4" spans="1:18" x14ac:dyDescent="0.3">
      <c r="A4" s="2" t="s">
        <v>659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661</v>
      </c>
      <c r="H4" s="2"/>
      <c r="I4" s="2"/>
      <c r="J4" s="2"/>
      <c r="K4" s="2"/>
      <c r="L4" s="2"/>
      <c r="M4" s="2"/>
      <c r="N4" s="18">
        <v>68</v>
      </c>
      <c r="O4" s="2" t="s">
        <v>1470</v>
      </c>
      <c r="P4" s="2" t="str">
        <f t="shared" si="2"/>
        <v>68 мк</v>
      </c>
    </row>
    <row r="5" spans="1:18" x14ac:dyDescent="0.3">
      <c r="A5" t="s">
        <v>691</v>
      </c>
      <c r="B5" t="s">
        <v>692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1471</v>
      </c>
      <c r="P5" t="str">
        <f t="shared" si="2"/>
        <v>4,7 мк</v>
      </c>
    </row>
    <row r="6" spans="1:18" x14ac:dyDescent="0.3">
      <c r="A6" t="s">
        <v>718</v>
      </c>
      <c r="B6" t="s">
        <v>719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1461</v>
      </c>
      <c r="P6" t="str">
        <f t="shared" si="2"/>
        <v>22 мк</v>
      </c>
    </row>
    <row r="7" spans="1:18" x14ac:dyDescent="0.3">
      <c r="A7" t="s">
        <v>775</v>
      </c>
      <c r="B7" t="s">
        <v>857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1472</v>
      </c>
      <c r="P7" t="str">
        <f t="shared" si="2"/>
        <v>22 мк</v>
      </c>
    </row>
    <row r="8" spans="1:18" x14ac:dyDescent="0.3">
      <c r="A8" t="s">
        <v>858</v>
      </c>
      <c r="B8" t="s">
        <v>856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1473</v>
      </c>
      <c r="P8" t="str">
        <f t="shared" si="2"/>
        <v>0,33 мк</v>
      </c>
    </row>
    <row r="9" spans="1:18" x14ac:dyDescent="0.3">
      <c r="A9" t="s">
        <v>865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1474</v>
      </c>
      <c r="P9" s="2" t="str">
        <f t="shared" si="2"/>
        <v>68 мк</v>
      </c>
    </row>
    <row r="10" spans="1:18" x14ac:dyDescent="0.3">
      <c r="A10" t="s">
        <v>868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869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1472</v>
      </c>
      <c r="P10" s="2" t="str">
        <f t="shared" si="2"/>
        <v>12 мк</v>
      </c>
    </row>
    <row r="11" spans="1:18" x14ac:dyDescent="0.3">
      <c r="A11" t="s">
        <v>904</v>
      </c>
      <c r="B11" t="s">
        <v>905</v>
      </c>
      <c r="C11" t="s">
        <v>947</v>
      </c>
      <c r="D11" s="2" t="s">
        <v>906</v>
      </c>
      <c r="E11" s="2" t="s">
        <v>904</v>
      </c>
      <c r="F11" s="2" t="str">
        <f t="shared" si="12"/>
        <v>Footprints\Inductance\M20VN.PcbLib</v>
      </c>
      <c r="G11" s="2" t="s">
        <v>904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1473</v>
      </c>
      <c r="P11" t="s">
        <v>907</v>
      </c>
      <c r="R11" t="s">
        <v>1425</v>
      </c>
    </row>
    <row r="12" spans="1:18" x14ac:dyDescent="0.3">
      <c r="A12" t="s">
        <v>918</v>
      </c>
      <c r="B12" t="s">
        <v>919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1475</v>
      </c>
      <c r="P12" s="2" t="str">
        <f t="shared" si="2"/>
        <v>47 мк</v>
      </c>
    </row>
    <row r="13" spans="1:18" x14ac:dyDescent="0.3">
      <c r="A13" t="s">
        <v>920</v>
      </c>
      <c r="B13" t="s">
        <v>924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1475</v>
      </c>
      <c r="P13" s="2" t="str">
        <f t="shared" si="2"/>
        <v>100 мк</v>
      </c>
    </row>
    <row r="14" spans="1:18" x14ac:dyDescent="0.3">
      <c r="A14" t="s">
        <v>940</v>
      </c>
      <c r="B14" t="s">
        <v>942</v>
      </c>
      <c r="C14" t="str">
        <f t="shared" si="11"/>
        <v>HV_trans</v>
      </c>
      <c r="D14" s="2" t="s">
        <v>941</v>
      </c>
      <c r="E14" s="2" t="s">
        <v>940</v>
      </c>
      <c r="F14" s="2" t="str">
        <f t="shared" si="12"/>
        <v>Footprints\Inductance\EE16_transformer.PcbLib</v>
      </c>
      <c r="G14" s="2" t="s">
        <v>943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1476</v>
      </c>
      <c r="P14">
        <f>N14</f>
        <v>0</v>
      </c>
      <c r="R14" t="s">
        <v>1425</v>
      </c>
    </row>
    <row r="15" spans="1:18" x14ac:dyDescent="0.3">
      <c r="A15" t="s">
        <v>1087</v>
      </c>
      <c r="B15" t="s">
        <v>1088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1477</v>
      </c>
      <c r="P15" t="s">
        <v>632</v>
      </c>
    </row>
    <row r="16" spans="1:18" x14ac:dyDescent="0.3">
      <c r="A16" t="s">
        <v>1141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869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1478</v>
      </c>
      <c r="P16" t="s">
        <v>597</v>
      </c>
    </row>
    <row r="17" spans="1:18" x14ac:dyDescent="0.3">
      <c r="A17" t="s">
        <v>1142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1479</v>
      </c>
      <c r="P17" t="s">
        <v>640</v>
      </c>
    </row>
    <row r="18" spans="1:18" x14ac:dyDescent="0.3">
      <c r="A18" t="s">
        <v>1171</v>
      </c>
      <c r="B18" t="s">
        <v>1172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1173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1480</v>
      </c>
      <c r="P18" t="s">
        <v>632</v>
      </c>
    </row>
    <row r="19" spans="1:18" x14ac:dyDescent="0.3">
      <c r="A19" t="s">
        <v>1389</v>
      </c>
      <c r="B19" t="s">
        <v>1390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1481</v>
      </c>
      <c r="P19" t="str">
        <f t="shared" ref="P19:P25" si="23">CONCATENATE(N19, " мк")</f>
        <v>4,7 мк</v>
      </c>
      <c r="R19" t="s">
        <v>1425</v>
      </c>
    </row>
    <row r="20" spans="1:18" x14ac:dyDescent="0.3">
      <c r="A20" t="s">
        <v>1391</v>
      </c>
      <c r="B20" t="s">
        <v>1392</v>
      </c>
      <c r="C20" t="str">
        <f t="shared" si="21"/>
        <v>CDRH6D12NP-2R2NC</v>
      </c>
      <c r="D20" s="2" t="s">
        <v>1393</v>
      </c>
      <c r="E20" s="2" t="s">
        <v>1394</v>
      </c>
      <c r="F20" s="2" t="str">
        <f t="shared" ref="F20:F26" si="24">CONCATENATE("Footprints\Inductance\",G20,".PcbLib")</f>
        <v>Footprints\Inductance\CDRH6D12.PcbLib</v>
      </c>
      <c r="G20" s="2" t="s">
        <v>1395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1481</v>
      </c>
      <c r="P20" t="str">
        <f t="shared" si="23"/>
        <v>2,2 мк</v>
      </c>
      <c r="R20" t="s">
        <v>1425</v>
      </c>
    </row>
    <row r="21" spans="1:18" x14ac:dyDescent="0.3">
      <c r="A21" t="s">
        <v>1498</v>
      </c>
      <c r="B21" t="s">
        <v>1499</v>
      </c>
      <c r="C21" t="str">
        <f t="shared" si="21"/>
        <v>GP2426SR</v>
      </c>
      <c r="D21" s="2" t="s">
        <v>1500</v>
      </c>
      <c r="E21" s="2" t="s">
        <v>1501</v>
      </c>
      <c r="F21" s="2" t="str">
        <f t="shared" si="24"/>
        <v>Footprints\Inductance\GP2426SR.PcbLib</v>
      </c>
      <c r="G21" t="s">
        <v>1498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1502</v>
      </c>
      <c r="P21" t="s">
        <v>1503</v>
      </c>
      <c r="R21" t="s">
        <v>1425</v>
      </c>
    </row>
    <row r="22" spans="1:18" x14ac:dyDescent="0.3">
      <c r="A22" t="s">
        <v>1524</v>
      </c>
      <c r="B22" t="s">
        <v>1525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869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1530</v>
      </c>
      <c r="P22" t="str">
        <f t="shared" si="23"/>
        <v>2,2 мк</v>
      </c>
      <c r="Q22" t="s">
        <v>1532</v>
      </c>
      <c r="R22" t="s">
        <v>1425</v>
      </c>
    </row>
    <row r="23" spans="1:18" x14ac:dyDescent="0.3">
      <c r="A23" t="s">
        <v>1526</v>
      </c>
      <c r="B23" t="s">
        <v>1527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1528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1529</v>
      </c>
      <c r="P23" t="str">
        <f t="shared" si="23"/>
        <v>2,2 мк</v>
      </c>
      <c r="Q23" t="s">
        <v>1531</v>
      </c>
      <c r="R23" t="s">
        <v>1425</v>
      </c>
    </row>
    <row r="24" spans="1:18" x14ac:dyDescent="0.3">
      <c r="A24" t="s">
        <v>1580</v>
      </c>
      <c r="B24" t="s">
        <v>1581</v>
      </c>
      <c r="C24" t="str">
        <f>A24</f>
        <v>B78476A8065A003</v>
      </c>
      <c r="D24" s="2" t="s">
        <v>1582</v>
      </c>
      <c r="E24" t="s">
        <v>1580</v>
      </c>
      <c r="F24" s="2" t="str">
        <f t="shared" si="24"/>
        <v>Footprints\Inductance\B78476A8065A003.PcbLib</v>
      </c>
      <c r="G24" s="2" t="s">
        <v>1580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1502</v>
      </c>
      <c r="P24" t="s">
        <v>1503</v>
      </c>
      <c r="Q24" t="s">
        <v>1583</v>
      </c>
      <c r="R24" t="s">
        <v>1425</v>
      </c>
    </row>
    <row r="25" spans="1:18" x14ac:dyDescent="0.3">
      <c r="A25" t="s">
        <v>1606</v>
      </c>
      <c r="B25" t="s">
        <v>1607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1605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8">
        <v>15</v>
      </c>
      <c r="O25" t="s">
        <v>1609</v>
      </c>
      <c r="P25" t="str">
        <f t="shared" si="23"/>
        <v>15 мк</v>
      </c>
      <c r="Q25" t="s">
        <v>1608</v>
      </c>
      <c r="R25" t="s">
        <v>1425</v>
      </c>
    </row>
    <row r="26" spans="1:18" x14ac:dyDescent="0.3">
      <c r="A26" t="s">
        <v>1610</v>
      </c>
      <c r="B26" t="s">
        <v>1611</v>
      </c>
      <c r="C26" t="str">
        <f t="shared" ref="C26" si="25">A26</f>
        <v>H5120NLT</v>
      </c>
      <c r="D26" s="2" t="s">
        <v>1613</v>
      </c>
      <c r="E26" s="2" t="s">
        <v>1612</v>
      </c>
      <c r="F26" s="2" t="str">
        <f t="shared" si="24"/>
        <v>Footprints\Inductance\H5120NLT.PcbLib</v>
      </c>
      <c r="G26" t="s">
        <v>1610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8">
        <v>0</v>
      </c>
      <c r="O26" t="s">
        <v>1502</v>
      </c>
      <c r="P26" t="s">
        <v>1503</v>
      </c>
      <c r="Q26" t="s">
        <v>1614</v>
      </c>
      <c r="R26" t="s">
        <v>1425</v>
      </c>
    </row>
    <row r="27" spans="1:18" x14ac:dyDescent="0.3">
      <c r="A27" t="s">
        <v>1616</v>
      </c>
      <c r="B27" s="2" t="s">
        <v>1617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336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8">
        <v>15</v>
      </c>
      <c r="O27" t="s">
        <v>1618</v>
      </c>
      <c r="P27" s="2" t="str">
        <f t="shared" ref="P27" si="29">CONCATENATE(N27, " мк")</f>
        <v>15 мк</v>
      </c>
      <c r="Q27" t="s">
        <v>1619</v>
      </c>
      <c r="R27" t="s">
        <v>1425</v>
      </c>
    </row>
    <row r="28" spans="1:18" x14ac:dyDescent="0.3">
      <c r="A28" t="s">
        <v>1639</v>
      </c>
      <c r="B28" t="s">
        <v>1640</v>
      </c>
      <c r="C28" t="str">
        <f>A28</f>
        <v>Transformer_RM8</v>
      </c>
      <c r="D28" s="2" t="s">
        <v>1643</v>
      </c>
      <c r="E28" s="2" t="s">
        <v>1639</v>
      </c>
      <c r="F28" s="2" t="str">
        <f>CONCATENATE("Footprints\Inductance\",G28,".PcbLib")</f>
        <v>Footprints\Inductance\RM8_trans.PcbLib</v>
      </c>
      <c r="G28" s="2" t="s">
        <v>1641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O28" s="53"/>
      <c r="P28" s="53"/>
      <c r="Q28" s="38" t="s">
        <v>1642</v>
      </c>
      <c r="R28" t="s">
        <v>1450</v>
      </c>
    </row>
    <row r="29" spans="1:18" x14ac:dyDescent="0.3">
      <c r="A29" t="s">
        <v>1644</v>
      </c>
      <c r="B29" t="s">
        <v>1645</v>
      </c>
      <c r="C29" t="str">
        <f>A29</f>
        <v>Inductance_RM8</v>
      </c>
      <c r="D29" s="2" t="s">
        <v>1646</v>
      </c>
      <c r="E29" t="s">
        <v>1644</v>
      </c>
      <c r="F29" s="2" t="str">
        <f>CONCATENATE("Footprints\Inductance\",G29,".PcbLib")</f>
        <v>Footprints\Inductance\RM8_trans.PcbLib</v>
      </c>
      <c r="G29" s="2" t="s">
        <v>1641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O29" s="53"/>
      <c r="P29" s="53">
        <f>N29</f>
        <v>0</v>
      </c>
      <c r="Q29" s="38" t="s">
        <v>1642</v>
      </c>
      <c r="R29" t="s">
        <v>1450</v>
      </c>
    </row>
    <row r="30" spans="1:18" x14ac:dyDescent="0.3">
      <c r="A30" t="s">
        <v>1665</v>
      </c>
      <c r="B30" t="s">
        <v>1666</v>
      </c>
      <c r="C30" t="str">
        <f>A30</f>
        <v>BLM18AG102SN1D</v>
      </c>
      <c r="D30" s="2" t="s">
        <v>1668</v>
      </c>
      <c r="E30" s="2" t="s">
        <v>1667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O30" s="53"/>
      <c r="P30" s="53"/>
      <c r="Q30" s="38" t="s">
        <v>1669</v>
      </c>
      <c r="R30" t="s">
        <v>1450</v>
      </c>
    </row>
    <row r="31" spans="1:18" x14ac:dyDescent="0.3">
      <c r="A31" t="s">
        <v>1725</v>
      </c>
      <c r="B31" t="s">
        <v>1726</v>
      </c>
      <c r="C31" t="str">
        <f>A31</f>
        <v>MLZ1608M100WT000</v>
      </c>
      <c r="D31" s="2" t="s">
        <v>102</v>
      </c>
      <c r="E31" s="2" t="s">
        <v>100</v>
      </c>
      <c r="F31" s="2" t="str">
        <f>CONCATENATE("Footprints\Inductance\",G31,".PcbLib")</f>
        <v>Footprints\Inductance\0603L.PcbLib</v>
      </c>
      <c r="G31" s="2" t="s">
        <v>103</v>
      </c>
      <c r="H31" s="2" t="str">
        <f>CONCATENATE("Footprints\Inductance\",I31,".PcbLib")</f>
        <v>Footprints\Inductance\.PcbLib</v>
      </c>
      <c r="I31" s="2"/>
      <c r="J31" s="2" t="str">
        <f>CONCATENATE("Footprints\Inductance\",K31,".PcbLib")</f>
        <v>Footprints\Inductance\.PcbLib</v>
      </c>
      <c r="K31" s="2"/>
      <c r="L31" s="2" t="str">
        <f>CONCATENATE("Footprints\Inductance\",M31,".PcbLib")</f>
        <v>Footprints\Inductance\.PcbLib</v>
      </c>
      <c r="M31" s="2"/>
      <c r="O31" s="53"/>
      <c r="P31" s="53" t="s">
        <v>1728</v>
      </c>
      <c r="Q31" s="38" t="s">
        <v>1727</v>
      </c>
      <c r="R31" t="s">
        <v>1707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  <hyperlink ref="Q31" r:id="rId4" display="https://www.chipdip.ru/product/mlz1608m100wt000-10mkgn-0603-20-induktivnost-smd-tdk-9000314841" xr:uid="{10493E50-AF35-4DFD-9197-C0549BB1C546}"/>
  </hyperlinks>
  <pageMargins left="0.7" right="0.7" top="0.75" bottom="0.75" header="0.3" footer="0.3"/>
  <pageSetup paperSize="9" orientation="portrait" r:id="rId5"/>
  <ignoredErrors>
    <ignoredError sqref="P3:P4" calculatedColumn="1"/>
  </ignoredErrors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1458</v>
      </c>
      <c r="L1" s="1" t="s">
        <v>954</v>
      </c>
      <c r="M1" s="49" t="s">
        <v>1424</v>
      </c>
      <c r="N1" s="17"/>
      <c r="O1" s="1"/>
      <c r="P1" s="1"/>
      <c r="Q1" s="1"/>
    </row>
    <row r="2" spans="1:17" ht="15.6" x14ac:dyDescent="0.3">
      <c r="A2" s="21" t="s">
        <v>929</v>
      </c>
      <c r="B2" s="22" t="s">
        <v>930</v>
      </c>
      <c r="C2" s="20" t="str">
        <f>A2</f>
        <v>TS820-600B-TR</v>
      </c>
      <c r="D2" s="22" t="s">
        <v>932</v>
      </c>
      <c r="E2" s="22" t="s">
        <v>931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933</v>
      </c>
      <c r="K2" s="26" t="s">
        <v>934</v>
      </c>
      <c r="L2" s="26"/>
      <c r="M2" s="2" t="s">
        <v>1425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O31" sqref="O31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  <col min="15" max="15" width="11.77734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954</v>
      </c>
      <c r="P1" s="56" t="s">
        <v>1424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1014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1009</v>
      </c>
      <c r="I3" s="2" t="s">
        <v>1008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822</v>
      </c>
      <c r="J6" s="2" t="str">
        <f t="shared" ref="J6" si="2">CONCATENATE("Footprints\",K6,".PcbLib")</f>
        <v>Footprints\0805SB_wide_gap.PcbLib</v>
      </c>
      <c r="K6" s="2" t="s">
        <v>870</v>
      </c>
      <c r="L6" s="2" t="str">
        <f t="shared" si="0"/>
        <v>Footprints\0603SB.PcbLib</v>
      </c>
      <c r="M6" s="2" t="s">
        <v>1570</v>
      </c>
      <c r="N6" s="53"/>
      <c r="O6" s="53"/>
      <c r="P6" s="53" t="s">
        <v>1425</v>
      </c>
    </row>
    <row r="7" spans="1:20" x14ac:dyDescent="0.3">
      <c r="A7" s="2" t="s">
        <v>702</v>
      </c>
      <c r="B7" s="2" t="s">
        <v>703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1425</v>
      </c>
    </row>
    <row r="8" spans="1:20" x14ac:dyDescent="0.3">
      <c r="A8" s="2" t="s">
        <v>726</v>
      </c>
      <c r="B8" s="2" t="s">
        <v>725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1425</v>
      </c>
    </row>
    <row r="9" spans="1:20" x14ac:dyDescent="0.3">
      <c r="A9" s="2" t="s">
        <v>738</v>
      </c>
      <c r="B9" s="2" t="s">
        <v>736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737</v>
      </c>
      <c r="F9" s="2" t="str">
        <f t="shared" si="1"/>
        <v>Footprints\fuse_20x5_on_clips_FC-M.PcbLib</v>
      </c>
      <c r="G9" s="2" t="s">
        <v>735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1425</v>
      </c>
    </row>
    <row r="10" spans="1:20" x14ac:dyDescent="0.3">
      <c r="A10" s="2" t="s">
        <v>780</v>
      </c>
      <c r="B10" s="2" t="s">
        <v>781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780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1425</v>
      </c>
    </row>
    <row r="11" spans="1:20" x14ac:dyDescent="0.3">
      <c r="A11" s="2" t="s">
        <v>811</v>
      </c>
      <c r="B11" s="2" t="s">
        <v>812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811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1425</v>
      </c>
    </row>
    <row r="12" spans="1:20" x14ac:dyDescent="0.3">
      <c r="A12" s="2" t="s">
        <v>859</v>
      </c>
      <c r="B12" s="2" t="s">
        <v>860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811</v>
      </c>
      <c r="F12" s="2" t="str">
        <f t="shared" ref="F12" si="5">CONCATENATE("Footprints\",G12,".PcbLib")</f>
        <v>Footprints\cooler3030.PcbLib</v>
      </c>
      <c r="G12" s="2" t="s">
        <v>859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1425</v>
      </c>
    </row>
    <row r="13" spans="1:20" x14ac:dyDescent="0.3">
      <c r="A13" s="2" t="s">
        <v>981</v>
      </c>
      <c r="B13" s="2" t="s">
        <v>983</v>
      </c>
      <c r="C13" s="2" t="s">
        <v>982</v>
      </c>
      <c r="D13" t="s">
        <v>984</v>
      </c>
      <c r="E13" s="2" t="s">
        <v>985</v>
      </c>
      <c r="F13" s="2" t="s">
        <v>980</v>
      </c>
      <c r="G13" s="2" t="s">
        <v>979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986</v>
      </c>
      <c r="P13" s="53" t="s">
        <v>1425</v>
      </c>
    </row>
    <row r="14" spans="1:20" x14ac:dyDescent="0.3">
      <c r="A14" t="s">
        <v>987</v>
      </c>
      <c r="B14" t="s">
        <v>989</v>
      </c>
      <c r="C14" t="s">
        <v>988</v>
      </c>
      <c r="D14" t="s">
        <v>984</v>
      </c>
      <c r="E14" s="2" t="s">
        <v>985</v>
      </c>
      <c r="F14" s="2" t="str">
        <f t="shared" ref="F14:F15" si="6">CONCATENATE("Footprints\",G14,".PcbLib")</f>
        <v>Footprints\spacer_m2.5_h16.PcbLib</v>
      </c>
      <c r="G14" t="s">
        <v>987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1425</v>
      </c>
    </row>
    <row r="15" spans="1:20" x14ac:dyDescent="0.3">
      <c r="A15" t="s">
        <v>1010</v>
      </c>
      <c r="B15" t="s">
        <v>1011</v>
      </c>
      <c r="C15" t="str">
        <f>A15</f>
        <v>CR2032-VAY3-15.2</v>
      </c>
      <c r="D15" t="s">
        <v>1012</v>
      </c>
      <c r="E15" t="s">
        <v>1013</v>
      </c>
      <c r="F15" s="2" t="str">
        <f t="shared" si="6"/>
        <v>Footprints\CR2032-VAY3-15.2.PcbLib</v>
      </c>
      <c r="G15" t="s">
        <v>1010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1425</v>
      </c>
    </row>
    <row r="16" spans="1:20" x14ac:dyDescent="0.3">
      <c r="A16" t="s">
        <v>1038</v>
      </c>
      <c r="B16" t="s">
        <v>1039</v>
      </c>
      <c r="C16" t="s">
        <v>1040</v>
      </c>
      <c r="D16" t="str">
        <f t="shared" ref="D16" si="7">CONCATENATE("Schematic\",A16,".SchLib")</f>
        <v>Schematic\4WayDIP.SchLib</v>
      </c>
      <c r="E16" t="s">
        <v>1041</v>
      </c>
      <c r="F16" t="s">
        <v>1042</v>
      </c>
      <c r="G16" t="s">
        <v>1043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1370</v>
      </c>
      <c r="B17" t="s">
        <v>1371</v>
      </c>
      <c r="C17" t="str">
        <f>A17</f>
        <v>Button_DIP_12x12</v>
      </c>
      <c r="D17" t="s">
        <v>1372</v>
      </c>
      <c r="E17" s="2" t="s">
        <v>54</v>
      </c>
      <c r="F17" t="s">
        <v>1373</v>
      </c>
      <c r="G17" t="s">
        <v>1370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1408</v>
      </c>
      <c r="B18" t="s">
        <v>1409</v>
      </c>
      <c r="C18" t="str">
        <f>A18</f>
        <v>X322525MOB4SI</v>
      </c>
      <c r="D18" t="str">
        <f>CONCATENATE("Schematic\",E18,".SchLib")</f>
        <v>Schematic\XTAL_1-3_GND.SchLib</v>
      </c>
      <c r="E18" t="s">
        <v>1405</v>
      </c>
      <c r="F18" t="s">
        <v>1410</v>
      </c>
      <c r="G18" t="s">
        <v>1408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1406</v>
      </c>
      <c r="O18" s="53" t="s">
        <v>1407</v>
      </c>
      <c r="P18" s="53" t="s">
        <v>1425</v>
      </c>
    </row>
    <row r="19" spans="1:16" x14ac:dyDescent="0.3">
      <c r="A19" s="2" t="s">
        <v>1432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1432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1449</v>
      </c>
      <c r="P19" s="53" t="s">
        <v>1450</v>
      </c>
    </row>
    <row r="20" spans="1:16" x14ac:dyDescent="0.3">
      <c r="A20" t="s">
        <v>1451</v>
      </c>
      <c r="B20" s="2" t="s">
        <v>1452</v>
      </c>
      <c r="C20" s="2" t="str">
        <f>A20</f>
        <v>SMT-NUT-M2H1.5</v>
      </c>
      <c r="D20" t="s">
        <v>984</v>
      </c>
      <c r="E20" s="2" t="s">
        <v>985</v>
      </c>
      <c r="F20" s="2" t="s">
        <v>980</v>
      </c>
      <c r="G20">
        <v>9774015151</v>
      </c>
      <c r="L20" s="2" t="str">
        <f t="shared" si="0"/>
        <v>Footprints\.PcbLib</v>
      </c>
      <c r="M20" s="53"/>
      <c r="N20" s="53"/>
      <c r="O20" s="23" t="s">
        <v>986</v>
      </c>
      <c r="P20" s="53" t="s">
        <v>1450</v>
      </c>
    </row>
    <row r="21" spans="1:16" x14ac:dyDescent="0.3">
      <c r="A21" s="53" t="s">
        <v>1533</v>
      </c>
      <c r="B21" s="53" t="s">
        <v>1534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1535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1548</v>
      </c>
      <c r="O21" s="53"/>
      <c r="P21" s="53" t="s">
        <v>1425</v>
      </c>
    </row>
    <row r="22" spans="1:16" x14ac:dyDescent="0.3">
      <c r="A22" s="53" t="s">
        <v>1536</v>
      </c>
      <c r="B22" s="53" t="s">
        <v>1539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1542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1549</v>
      </c>
      <c r="O22" s="53"/>
      <c r="P22" s="53" t="s">
        <v>1425</v>
      </c>
    </row>
    <row r="23" spans="1:16" x14ac:dyDescent="0.3">
      <c r="A23" s="53" t="s">
        <v>1537</v>
      </c>
      <c r="B23" s="53" t="s">
        <v>1540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1543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1550</v>
      </c>
      <c r="O23" s="53"/>
      <c r="P23" s="53" t="s">
        <v>1425</v>
      </c>
    </row>
    <row r="24" spans="1:16" x14ac:dyDescent="0.3">
      <c r="A24" s="53" t="s">
        <v>1538</v>
      </c>
      <c r="B24" s="53" t="s">
        <v>1541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1544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1551</v>
      </c>
      <c r="O24" s="53"/>
      <c r="P24" s="53" t="s">
        <v>1425</v>
      </c>
    </row>
    <row r="25" spans="1:16" x14ac:dyDescent="0.3">
      <c r="A25" s="57" t="s">
        <v>1545</v>
      </c>
      <c r="B25" s="53" t="s">
        <v>1552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1546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1547</v>
      </c>
      <c r="O25" s="53"/>
      <c r="P25" s="53" t="s">
        <v>1425</v>
      </c>
    </row>
    <row r="26" spans="1:16" x14ac:dyDescent="0.3">
      <c r="A26" s="53" t="s">
        <v>1692</v>
      </c>
      <c r="B26" s="53" t="s">
        <v>1693</v>
      </c>
      <c r="C26" s="53" t="str">
        <f>A26</f>
        <v>MF-FSMF010X-2</v>
      </c>
      <c r="D26" s="53" t="str">
        <f>CONCATENATE("Schematic\",A26,".SchLib")</f>
        <v>Schematic\MF-FSMF010X-2.SchLib</v>
      </c>
      <c r="E26" s="53" t="str">
        <f>A26</f>
        <v>MF-FSMF010X-2</v>
      </c>
      <c r="F26" s="53" t="s">
        <v>134</v>
      </c>
      <c r="G26" s="53"/>
      <c r="H26" s="53"/>
      <c r="I26" s="53"/>
      <c r="J26" s="53" t="str">
        <f>CONCATENATE("Footprints\",K26,".PcbLib")</f>
        <v>Footprints\.PcbLib</v>
      </c>
      <c r="K26" s="53"/>
      <c r="L26" s="2" t="str">
        <f>CONCATENATE("Footprints\",M26,".PcbLib")</f>
        <v>Footprints\.PcbLib</v>
      </c>
      <c r="M26" s="53"/>
      <c r="N26" s="53"/>
      <c r="O26" s="53"/>
      <c r="P26" s="53" t="s">
        <v>1694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M69"/>
  <sheetViews>
    <sheetView topLeftCell="A46" zoomScaleNormal="100" workbookViewId="0">
      <selection activeCell="D71" sqref="D71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954</v>
      </c>
      <c r="K1" s="1" t="s">
        <v>977</v>
      </c>
      <c r="L1" s="49" t="s">
        <v>1424</v>
      </c>
      <c r="M1" s="1" t="s">
        <v>1713</v>
      </c>
    </row>
    <row r="2" spans="1:13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978</v>
      </c>
    </row>
    <row r="3" spans="1:13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978</v>
      </c>
    </row>
    <row r="4" spans="1:13" x14ac:dyDescent="0.3">
      <c r="A4" t="s">
        <v>880</v>
      </c>
      <c r="B4" t="s">
        <v>108</v>
      </c>
      <c r="C4" s="2" t="s">
        <v>880</v>
      </c>
      <c r="D4" t="s">
        <v>348</v>
      </c>
      <c r="E4" s="2" t="s">
        <v>113</v>
      </c>
      <c r="F4" t="s">
        <v>948</v>
      </c>
      <c r="G4" t="s">
        <v>107</v>
      </c>
      <c r="K4" t="s">
        <v>978</v>
      </c>
      <c r="L4" t="s">
        <v>1450</v>
      </c>
    </row>
    <row r="5" spans="1:13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978</v>
      </c>
      <c r="L5" t="s">
        <v>1450</v>
      </c>
    </row>
    <row r="6" spans="1:13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978</v>
      </c>
    </row>
    <row r="7" spans="1:13" x14ac:dyDescent="0.3">
      <c r="A7" t="s">
        <v>845</v>
      </c>
      <c r="B7" t="s">
        <v>118</v>
      </c>
      <c r="C7" s="2" t="s">
        <v>845</v>
      </c>
      <c r="D7" t="s">
        <v>658</v>
      </c>
      <c r="E7" s="2" t="s">
        <v>656</v>
      </c>
      <c r="F7" t="s">
        <v>846</v>
      </c>
      <c r="G7" t="s">
        <v>845</v>
      </c>
      <c r="K7" t="s">
        <v>978</v>
      </c>
      <c r="L7" t="s">
        <v>1425</v>
      </c>
    </row>
    <row r="8" spans="1:13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978</v>
      </c>
    </row>
    <row r="9" spans="1:13" x14ac:dyDescent="0.3">
      <c r="A9" t="s">
        <v>332</v>
      </c>
      <c r="B9" t="s">
        <v>655</v>
      </c>
      <c r="C9" s="2" t="s">
        <v>332</v>
      </c>
      <c r="D9" t="s">
        <v>844</v>
      </c>
      <c r="E9" t="s">
        <v>843</v>
      </c>
      <c r="F9" t="s">
        <v>356</v>
      </c>
      <c r="G9" t="s">
        <v>332</v>
      </c>
      <c r="K9" t="s">
        <v>978</v>
      </c>
      <c r="L9" t="s">
        <v>1425</v>
      </c>
    </row>
    <row r="10" spans="1:13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978</v>
      </c>
    </row>
    <row r="11" spans="1:13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978</v>
      </c>
      <c r="L11" t="s">
        <v>1425</v>
      </c>
    </row>
    <row r="12" spans="1:13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978</v>
      </c>
      <c r="L12" t="s">
        <v>1425</v>
      </c>
    </row>
    <row r="13" spans="1:13" x14ac:dyDescent="0.3">
      <c r="A13" t="s">
        <v>653</v>
      </c>
      <c r="B13" t="s">
        <v>654</v>
      </c>
      <c r="C13" s="2"/>
      <c r="D13" t="s">
        <v>658</v>
      </c>
      <c r="E13" t="s">
        <v>656</v>
      </c>
      <c r="F13" t="s">
        <v>657</v>
      </c>
      <c r="G13" t="s">
        <v>653</v>
      </c>
      <c r="K13" t="s">
        <v>978</v>
      </c>
    </row>
    <row r="14" spans="1:13" x14ac:dyDescent="0.3">
      <c r="A14" t="s">
        <v>683</v>
      </c>
      <c r="B14" t="s">
        <v>684</v>
      </c>
      <c r="C14" s="2" t="s">
        <v>685</v>
      </c>
      <c r="D14" t="s">
        <v>686</v>
      </c>
      <c r="E14" t="s">
        <v>685</v>
      </c>
      <c r="F14" t="s">
        <v>687</v>
      </c>
      <c r="G14" t="s">
        <v>685</v>
      </c>
      <c r="K14" t="s">
        <v>978</v>
      </c>
    </row>
    <row r="15" spans="1:13" x14ac:dyDescent="0.3">
      <c r="A15" t="s">
        <v>752</v>
      </c>
      <c r="B15" t="s">
        <v>755</v>
      </c>
      <c r="C15" s="2" t="s">
        <v>752</v>
      </c>
      <c r="D15" t="s">
        <v>753</v>
      </c>
      <c r="E15" t="s">
        <v>752</v>
      </c>
      <c r="F15" t="s">
        <v>754</v>
      </c>
      <c r="G15" t="s">
        <v>752</v>
      </c>
      <c r="K15" t="s">
        <v>978</v>
      </c>
    </row>
    <row r="16" spans="1:13" x14ac:dyDescent="0.3">
      <c r="A16" t="s">
        <v>797</v>
      </c>
      <c r="B16" t="s">
        <v>805</v>
      </c>
      <c r="C16" s="2" t="s">
        <v>798</v>
      </c>
      <c r="D16" t="s">
        <v>799</v>
      </c>
      <c r="E16" t="s">
        <v>797</v>
      </c>
      <c r="F16" t="s">
        <v>800</v>
      </c>
      <c r="G16" t="s">
        <v>797</v>
      </c>
      <c r="K16" t="s">
        <v>978</v>
      </c>
      <c r="L16" t="s">
        <v>1425</v>
      </c>
    </row>
    <row r="17" spans="1:12" x14ac:dyDescent="0.3">
      <c r="A17" t="s">
        <v>801</v>
      </c>
      <c r="B17" t="s">
        <v>804</v>
      </c>
      <c r="C17" s="2" t="s">
        <v>802</v>
      </c>
      <c r="D17" t="s">
        <v>803</v>
      </c>
      <c r="E17" t="s">
        <v>801</v>
      </c>
      <c r="F17" t="s">
        <v>806</v>
      </c>
      <c r="G17" t="s">
        <v>807</v>
      </c>
      <c r="K17" t="s">
        <v>978</v>
      </c>
      <c r="L17" t="s">
        <v>1425</v>
      </c>
    </row>
    <row r="18" spans="1:12" x14ac:dyDescent="0.3">
      <c r="A18" t="s">
        <v>808</v>
      </c>
      <c r="B18" t="s">
        <v>809</v>
      </c>
      <c r="C18" s="2" t="s">
        <v>808</v>
      </c>
      <c r="D18" t="s">
        <v>344</v>
      </c>
      <c r="E18" t="s">
        <v>111</v>
      </c>
      <c r="F18" t="s">
        <v>810</v>
      </c>
      <c r="G18" t="s">
        <v>808</v>
      </c>
      <c r="K18" t="s">
        <v>978</v>
      </c>
      <c r="L18" t="s">
        <v>1425</v>
      </c>
    </row>
    <row r="19" spans="1:12" x14ac:dyDescent="0.3">
      <c r="A19" t="s">
        <v>813</v>
      </c>
      <c r="B19" t="s">
        <v>817</v>
      </c>
      <c r="C19" s="2" t="s">
        <v>814</v>
      </c>
      <c r="D19" t="s">
        <v>815</v>
      </c>
      <c r="E19" t="s">
        <v>813</v>
      </c>
      <c r="F19" t="s">
        <v>816</v>
      </c>
      <c r="G19" t="s">
        <v>813</v>
      </c>
      <c r="K19" t="s">
        <v>978</v>
      </c>
      <c r="L19" t="s">
        <v>1425</v>
      </c>
    </row>
    <row r="20" spans="1:12" x14ac:dyDescent="0.3">
      <c r="A20" t="s">
        <v>820</v>
      </c>
      <c r="B20" t="s">
        <v>804</v>
      </c>
      <c r="C20" s="2" t="s">
        <v>821</v>
      </c>
      <c r="D20" t="s">
        <v>803</v>
      </c>
      <c r="E20" t="s">
        <v>801</v>
      </c>
      <c r="F20" t="s">
        <v>819</v>
      </c>
      <c r="G20" t="s">
        <v>818</v>
      </c>
      <c r="K20" t="s">
        <v>978</v>
      </c>
      <c r="L20" t="s">
        <v>1425</v>
      </c>
    </row>
    <row r="21" spans="1:12" x14ac:dyDescent="0.3">
      <c r="A21" t="s">
        <v>823</v>
      </c>
      <c r="B21" t="s">
        <v>827</v>
      </c>
      <c r="C21" s="2" t="s">
        <v>823</v>
      </c>
      <c r="D21" t="s">
        <v>351</v>
      </c>
      <c r="E21" t="s">
        <v>117</v>
      </c>
      <c r="F21" t="s">
        <v>824</v>
      </c>
      <c r="G21" t="s">
        <v>823</v>
      </c>
      <c r="K21" t="s">
        <v>978</v>
      </c>
      <c r="L21" t="s">
        <v>1425</v>
      </c>
    </row>
    <row r="22" spans="1:12" x14ac:dyDescent="0.3">
      <c r="A22" t="s">
        <v>826</v>
      </c>
      <c r="B22" t="s">
        <v>825</v>
      </c>
      <c r="C22" s="2" t="s">
        <v>826</v>
      </c>
      <c r="D22" t="s">
        <v>348</v>
      </c>
      <c r="E22" t="s">
        <v>113</v>
      </c>
      <c r="F22" t="s">
        <v>828</v>
      </c>
      <c r="G22" t="s">
        <v>826</v>
      </c>
      <c r="K22" t="s">
        <v>978</v>
      </c>
      <c r="L22" t="s">
        <v>1425</v>
      </c>
    </row>
    <row r="23" spans="1:12" x14ac:dyDescent="0.3">
      <c r="A23" t="s">
        <v>829</v>
      </c>
      <c r="B23" t="s">
        <v>830</v>
      </c>
      <c r="C23" s="2" t="s">
        <v>829</v>
      </c>
      <c r="D23" t="s">
        <v>349</v>
      </c>
      <c r="E23" t="s">
        <v>114</v>
      </c>
      <c r="F23" t="s">
        <v>831</v>
      </c>
      <c r="G23" t="s">
        <v>829</v>
      </c>
      <c r="K23" t="s">
        <v>978</v>
      </c>
      <c r="L23" t="s">
        <v>1425</v>
      </c>
    </row>
    <row r="24" spans="1:12" x14ac:dyDescent="0.3">
      <c r="A24" t="s">
        <v>833</v>
      </c>
      <c r="B24" t="s">
        <v>832</v>
      </c>
      <c r="C24" s="2" t="s">
        <v>833</v>
      </c>
      <c r="D24" t="s">
        <v>351</v>
      </c>
      <c r="E24" t="s">
        <v>117</v>
      </c>
      <c r="F24" t="s">
        <v>836</v>
      </c>
      <c r="G24" t="s">
        <v>833</v>
      </c>
      <c r="K24" t="s">
        <v>978</v>
      </c>
      <c r="L24" t="s">
        <v>1425</v>
      </c>
    </row>
    <row r="25" spans="1:12" x14ac:dyDescent="0.3">
      <c r="A25" t="s">
        <v>839</v>
      </c>
      <c r="B25" t="s">
        <v>842</v>
      </c>
      <c r="C25" s="2" t="s">
        <v>839</v>
      </c>
      <c r="D25" t="s">
        <v>348</v>
      </c>
      <c r="E25" t="s">
        <v>113</v>
      </c>
      <c r="F25" t="s">
        <v>837</v>
      </c>
      <c r="G25" t="s">
        <v>839</v>
      </c>
      <c r="K25" t="s">
        <v>978</v>
      </c>
      <c r="L25" t="s">
        <v>1425</v>
      </c>
    </row>
    <row r="26" spans="1:12" x14ac:dyDescent="0.3">
      <c r="A26" t="s">
        <v>840</v>
      </c>
      <c r="B26" t="s">
        <v>841</v>
      </c>
      <c r="C26" s="2" t="s">
        <v>840</v>
      </c>
      <c r="D26" t="s">
        <v>834</v>
      </c>
      <c r="E26" t="s">
        <v>835</v>
      </c>
      <c r="F26" t="s">
        <v>838</v>
      </c>
      <c r="G26" t="s">
        <v>840</v>
      </c>
      <c r="K26" t="s">
        <v>978</v>
      </c>
      <c r="L26" t="s">
        <v>1425</v>
      </c>
    </row>
    <row r="27" spans="1:12" x14ac:dyDescent="0.3">
      <c r="A27" t="s">
        <v>879</v>
      </c>
      <c r="B27" t="s">
        <v>878</v>
      </c>
      <c r="C27" s="2" t="s">
        <v>879</v>
      </c>
      <c r="D27" t="s">
        <v>353</v>
      </c>
      <c r="E27" s="2" t="s">
        <v>119</v>
      </c>
      <c r="F27" t="s">
        <v>948</v>
      </c>
      <c r="G27" t="s">
        <v>877</v>
      </c>
      <c r="K27" t="s">
        <v>978</v>
      </c>
      <c r="L27" t="s">
        <v>1425</v>
      </c>
    </row>
    <row r="28" spans="1:12" x14ac:dyDescent="0.3">
      <c r="A28" t="s">
        <v>949</v>
      </c>
      <c r="B28" t="s">
        <v>956</v>
      </c>
      <c r="C28" t="s">
        <v>949</v>
      </c>
      <c r="D28" t="s">
        <v>348</v>
      </c>
      <c r="E28" s="2" t="s">
        <v>113</v>
      </c>
      <c r="F28" t="s">
        <v>950</v>
      </c>
      <c r="G28" t="s">
        <v>951</v>
      </c>
      <c r="J28" t="s">
        <v>955</v>
      </c>
      <c r="K28" t="s">
        <v>978</v>
      </c>
      <c r="L28" t="s">
        <v>1425</v>
      </c>
    </row>
    <row r="29" spans="1:12" x14ac:dyDescent="0.3">
      <c r="A29" t="s">
        <v>952</v>
      </c>
      <c r="B29" t="s">
        <v>957</v>
      </c>
      <c r="C29" t="s">
        <v>952</v>
      </c>
      <c r="D29" t="s">
        <v>353</v>
      </c>
      <c r="E29" s="2" t="s">
        <v>119</v>
      </c>
      <c r="F29" t="s">
        <v>950</v>
      </c>
      <c r="G29" t="s">
        <v>953</v>
      </c>
      <c r="J29" t="s">
        <v>955</v>
      </c>
      <c r="K29" t="s">
        <v>978</v>
      </c>
      <c r="L29" t="s">
        <v>1425</v>
      </c>
    </row>
    <row r="30" spans="1:12" x14ac:dyDescent="0.3">
      <c r="A30" t="s">
        <v>959</v>
      </c>
      <c r="B30" t="s">
        <v>958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963</v>
      </c>
      <c r="G30" t="s">
        <v>961</v>
      </c>
      <c r="J30" t="s">
        <v>964</v>
      </c>
      <c r="K30" t="s">
        <v>978</v>
      </c>
      <c r="L30" t="s">
        <v>1425</v>
      </c>
    </row>
    <row r="31" spans="1:12" x14ac:dyDescent="0.3">
      <c r="A31" t="s">
        <v>960</v>
      </c>
      <c r="B31" t="s">
        <v>958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963</v>
      </c>
      <c r="G31" t="s">
        <v>962</v>
      </c>
      <c r="J31" t="s">
        <v>964</v>
      </c>
      <c r="K31" t="s">
        <v>978</v>
      </c>
      <c r="L31" t="s">
        <v>1425</v>
      </c>
    </row>
    <row r="32" spans="1:12" x14ac:dyDescent="0.3">
      <c r="A32" t="s">
        <v>974</v>
      </c>
      <c r="B32" t="s">
        <v>118</v>
      </c>
      <c r="C32" t="s">
        <v>974</v>
      </c>
      <c r="D32" t="s">
        <v>353</v>
      </c>
      <c r="E32" s="2" t="s">
        <v>119</v>
      </c>
      <c r="F32" t="s">
        <v>975</v>
      </c>
      <c r="G32" t="s">
        <v>974</v>
      </c>
      <c r="J32" t="s">
        <v>976</v>
      </c>
      <c r="K32" t="s">
        <v>978</v>
      </c>
      <c r="L32" t="s">
        <v>1425</v>
      </c>
    </row>
    <row r="33" spans="1:12" x14ac:dyDescent="0.3">
      <c r="A33" t="s">
        <v>990</v>
      </c>
      <c r="B33" t="s">
        <v>991</v>
      </c>
      <c r="C33" t="s">
        <v>990</v>
      </c>
      <c r="D33" t="s">
        <v>349</v>
      </c>
      <c r="E33" s="2" t="s">
        <v>114</v>
      </c>
      <c r="F33" t="s">
        <v>948</v>
      </c>
      <c r="G33" t="s">
        <v>992</v>
      </c>
      <c r="J33" t="s">
        <v>1004</v>
      </c>
      <c r="K33" t="s">
        <v>978</v>
      </c>
      <c r="L33" t="s">
        <v>1425</v>
      </c>
    </row>
    <row r="34" spans="1:12" x14ac:dyDescent="0.3">
      <c r="A34" t="s">
        <v>993</v>
      </c>
      <c r="B34" t="s">
        <v>994</v>
      </c>
      <c r="C34" t="s">
        <v>993</v>
      </c>
      <c r="D34" t="s">
        <v>1151</v>
      </c>
      <c r="E34" s="2" t="s">
        <v>1152</v>
      </c>
      <c r="F34" t="s">
        <v>995</v>
      </c>
      <c r="G34" t="s">
        <v>996</v>
      </c>
      <c r="J34" t="s">
        <v>964</v>
      </c>
      <c r="K34" t="s">
        <v>978</v>
      </c>
      <c r="L34" t="s">
        <v>1425</v>
      </c>
    </row>
    <row r="35" spans="1:12" x14ac:dyDescent="0.3">
      <c r="A35" t="s">
        <v>1188</v>
      </c>
      <c r="B35" t="s">
        <v>994</v>
      </c>
      <c r="C35" t="s">
        <v>1188</v>
      </c>
      <c r="D35" t="s">
        <v>1151</v>
      </c>
      <c r="E35" s="2" t="s">
        <v>1152</v>
      </c>
      <c r="F35" t="s">
        <v>1189</v>
      </c>
      <c r="G35" t="s">
        <v>1190</v>
      </c>
      <c r="J35" s="38" t="s">
        <v>1004</v>
      </c>
      <c r="K35" t="s">
        <v>978</v>
      </c>
      <c r="L35" t="s">
        <v>1425</v>
      </c>
    </row>
    <row r="36" spans="1:12" x14ac:dyDescent="0.3">
      <c r="A36" t="s">
        <v>997</v>
      </c>
      <c r="B36" t="s">
        <v>998</v>
      </c>
      <c r="C36" s="2" t="s">
        <v>999</v>
      </c>
      <c r="D36" t="s">
        <v>1000</v>
      </c>
      <c r="E36" t="s">
        <v>1001</v>
      </c>
      <c r="F36" t="s">
        <v>1002</v>
      </c>
      <c r="G36" t="s">
        <v>997</v>
      </c>
      <c r="J36" t="s">
        <v>1003</v>
      </c>
      <c r="K36" t="s">
        <v>978</v>
      </c>
      <c r="L36" t="s">
        <v>1425</v>
      </c>
    </row>
    <row r="37" spans="1:12" x14ac:dyDescent="0.3">
      <c r="A37" t="s">
        <v>1005</v>
      </c>
      <c r="B37" t="s">
        <v>1006</v>
      </c>
      <c r="C37" s="2" t="s">
        <v>1005</v>
      </c>
      <c r="D37" t="s">
        <v>351</v>
      </c>
      <c r="E37" s="2" t="s">
        <v>117</v>
      </c>
      <c r="F37" t="s">
        <v>948</v>
      </c>
      <c r="G37" t="s">
        <v>1007</v>
      </c>
      <c r="J37" t="s">
        <v>1004</v>
      </c>
      <c r="K37" t="s">
        <v>978</v>
      </c>
      <c r="L37" t="s">
        <v>1425</v>
      </c>
    </row>
    <row r="38" spans="1:12" x14ac:dyDescent="0.3">
      <c r="A38" t="s">
        <v>1044</v>
      </c>
      <c r="B38" t="s">
        <v>1045</v>
      </c>
      <c r="C38" s="2" t="s">
        <v>1044</v>
      </c>
      <c r="D38" t="s">
        <v>1046</v>
      </c>
      <c r="E38" t="s">
        <v>1044</v>
      </c>
      <c r="F38" t="s">
        <v>1047</v>
      </c>
      <c r="G38" t="s">
        <v>1044</v>
      </c>
      <c r="K38" t="s">
        <v>978</v>
      </c>
    </row>
    <row r="39" spans="1:12" x14ac:dyDescent="0.3">
      <c r="A39" t="s">
        <v>1048</v>
      </c>
      <c r="B39" t="s">
        <v>1049</v>
      </c>
      <c r="C39" s="2" t="s">
        <v>1048</v>
      </c>
      <c r="D39" t="s">
        <v>1050</v>
      </c>
      <c r="E39" t="s">
        <v>1048</v>
      </c>
      <c r="F39" t="s">
        <v>1051</v>
      </c>
      <c r="G39" t="s">
        <v>1048</v>
      </c>
      <c r="K39" t="s">
        <v>978</v>
      </c>
    </row>
    <row r="40" spans="1:12" x14ac:dyDescent="0.3">
      <c r="A40" t="s">
        <v>1482</v>
      </c>
      <c r="B40" t="s">
        <v>1515</v>
      </c>
      <c r="C40" t="s">
        <v>1482</v>
      </c>
      <c r="D40" t="s">
        <v>1517</v>
      </c>
      <c r="E40" t="s">
        <v>1518</v>
      </c>
      <c r="F40" t="s">
        <v>1053</v>
      </c>
      <c r="G40" t="s">
        <v>1052</v>
      </c>
      <c r="H40" t="s">
        <v>1483</v>
      </c>
      <c r="I40" t="s">
        <v>1482</v>
      </c>
      <c r="J40" t="s">
        <v>1516</v>
      </c>
      <c r="K40" t="s">
        <v>978</v>
      </c>
      <c r="L40" t="s">
        <v>1425</v>
      </c>
    </row>
    <row r="41" spans="1:12" x14ac:dyDescent="0.3">
      <c r="A41" t="s">
        <v>1054</v>
      </c>
      <c r="B41" t="s">
        <v>1055</v>
      </c>
      <c r="C41" s="2" t="s">
        <v>1056</v>
      </c>
      <c r="D41" t="s">
        <v>1057</v>
      </c>
      <c r="E41" t="s">
        <v>1058</v>
      </c>
      <c r="F41" t="s">
        <v>1059</v>
      </c>
      <c r="G41" t="s">
        <v>1060</v>
      </c>
      <c r="K41" t="s">
        <v>978</v>
      </c>
    </row>
    <row r="42" spans="1:12" x14ac:dyDescent="0.3">
      <c r="A42" s="2" t="s">
        <v>1063</v>
      </c>
      <c r="B42" t="s">
        <v>1061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1064</v>
      </c>
      <c r="F42" t="str">
        <f>CONCATENATE("Footprints\Connectors\", G42, ".PcbLib")</f>
        <v>Footprints\Connectors\DF12(3.0)-32DP.PcbLib</v>
      </c>
      <c r="G42" t="s">
        <v>1063</v>
      </c>
      <c r="K42" t="s">
        <v>978</v>
      </c>
      <c r="L42" t="s">
        <v>1450</v>
      </c>
    </row>
    <row r="43" spans="1:12" x14ac:dyDescent="0.3">
      <c r="A43" s="2" t="s">
        <v>1062</v>
      </c>
      <c r="B43" t="s">
        <v>1065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1064</v>
      </c>
      <c r="F43" t="str">
        <f>CONCATENATE("Footprints\Connectors\", G43, ".PcbLib")</f>
        <v>Footprints\Connectors\DF12(3.0)-32DS.PcbLib</v>
      </c>
      <c r="G43" t="s">
        <v>1062</v>
      </c>
      <c r="K43" t="s">
        <v>978</v>
      </c>
      <c r="L43" t="s">
        <v>1450</v>
      </c>
    </row>
    <row r="44" spans="1:12" x14ac:dyDescent="0.3">
      <c r="A44" t="s">
        <v>1066</v>
      </c>
      <c r="B44" t="s">
        <v>1067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1068</v>
      </c>
      <c r="F44" t="str">
        <f t="shared" ref="F44:F46" si="2">CONCATENATE("Footprints\Connectors\", G44, ".PcbLib")</f>
        <v>Footprints\Connectors\DF40C-50DP.PcbLib</v>
      </c>
      <c r="G44" t="s">
        <v>1066</v>
      </c>
      <c r="K44" t="s">
        <v>978</v>
      </c>
      <c r="L44" t="s">
        <v>1450</v>
      </c>
    </row>
    <row r="45" spans="1:12" x14ac:dyDescent="0.3">
      <c r="A45" t="s">
        <v>1069</v>
      </c>
      <c r="B45" t="s">
        <v>1070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1068</v>
      </c>
      <c r="F45" t="str">
        <f t="shared" si="2"/>
        <v>Footprints\Connectors\DF40C-50DS.PcbLib</v>
      </c>
      <c r="G45" t="s">
        <v>1069</v>
      </c>
      <c r="K45" t="s">
        <v>978</v>
      </c>
      <c r="L45" t="s">
        <v>1450</v>
      </c>
    </row>
    <row r="46" spans="1:12" x14ac:dyDescent="0.3">
      <c r="A46" t="s">
        <v>1071</v>
      </c>
      <c r="B46" t="s">
        <v>1070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1068</v>
      </c>
      <c r="F46" t="str">
        <f t="shared" si="2"/>
        <v>Footprints\Connectors\DF40HC(4.0)-50DS.PcbLib</v>
      </c>
      <c r="G46" t="s">
        <v>1071</v>
      </c>
      <c r="K46" t="s">
        <v>978</v>
      </c>
      <c r="L46" t="s">
        <v>1450</v>
      </c>
    </row>
    <row r="47" spans="1:12" x14ac:dyDescent="0.3">
      <c r="A47" t="s">
        <v>1072</v>
      </c>
      <c r="B47" t="s">
        <v>1073</v>
      </c>
      <c r="C47" s="2" t="str">
        <f t="shared" si="0"/>
        <v>PLS-6</v>
      </c>
      <c r="D47" t="str">
        <f t="shared" si="1"/>
        <v>Schematic\Connectors\Conn_6pin.SchLib</v>
      </c>
      <c r="E47" t="s">
        <v>1074</v>
      </c>
      <c r="F47" t="s">
        <v>948</v>
      </c>
      <c r="G47" t="s">
        <v>1075</v>
      </c>
      <c r="K47" t="s">
        <v>978</v>
      </c>
      <c r="L47" t="s">
        <v>1450</v>
      </c>
    </row>
    <row r="48" spans="1:12" x14ac:dyDescent="0.3">
      <c r="A48" t="s">
        <v>1143</v>
      </c>
      <c r="B48" t="s">
        <v>1144</v>
      </c>
      <c r="C48" s="2" t="s">
        <v>1143</v>
      </c>
      <c r="D48" t="s">
        <v>351</v>
      </c>
      <c r="E48" s="2" t="s">
        <v>117</v>
      </c>
      <c r="F48" t="s">
        <v>1145</v>
      </c>
      <c r="G48" t="s">
        <v>1143</v>
      </c>
      <c r="K48" t="s">
        <v>978</v>
      </c>
      <c r="L48" t="s">
        <v>1450</v>
      </c>
    </row>
    <row r="49" spans="1:12" x14ac:dyDescent="0.3">
      <c r="A49" t="s">
        <v>1146</v>
      </c>
      <c r="B49" t="s">
        <v>1147</v>
      </c>
      <c r="C49" s="2" t="s">
        <v>1146</v>
      </c>
      <c r="D49" t="s">
        <v>658</v>
      </c>
      <c r="E49" s="2" t="s">
        <v>656</v>
      </c>
      <c r="F49" t="s">
        <v>1148</v>
      </c>
      <c r="G49" t="s">
        <v>1146</v>
      </c>
      <c r="K49" t="s">
        <v>978</v>
      </c>
      <c r="L49" t="s">
        <v>1450</v>
      </c>
    </row>
    <row r="50" spans="1:12" x14ac:dyDescent="0.3">
      <c r="A50" t="s">
        <v>1149</v>
      </c>
      <c r="B50" t="s">
        <v>1150</v>
      </c>
      <c r="C50" s="2" t="s">
        <v>1149</v>
      </c>
      <c r="D50" t="s">
        <v>1151</v>
      </c>
      <c r="E50" s="2" t="s">
        <v>1152</v>
      </c>
      <c r="F50" t="s">
        <v>1153</v>
      </c>
      <c r="G50" t="s">
        <v>1149</v>
      </c>
      <c r="K50" t="s">
        <v>978</v>
      </c>
      <c r="L50" t="s">
        <v>1450</v>
      </c>
    </row>
    <row r="51" spans="1:12" x14ac:dyDescent="0.3">
      <c r="A51" t="s">
        <v>1155</v>
      </c>
      <c r="B51" t="s">
        <v>1156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1152</v>
      </c>
      <c r="F51" t="str">
        <f t="shared" ref="F51:F54" si="5">CONCATENATE("Footprints\Connectors\", G51, ".PcbLib")</f>
        <v>Footprints\Connectors\DF40C-40DP.PcbLib</v>
      </c>
      <c r="G51" t="s">
        <v>1155</v>
      </c>
      <c r="K51" t="s">
        <v>978</v>
      </c>
      <c r="L51" t="s">
        <v>1450</v>
      </c>
    </row>
    <row r="52" spans="1:12" x14ac:dyDescent="0.3">
      <c r="A52" t="s">
        <v>1157</v>
      </c>
      <c r="B52" t="s">
        <v>1158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1152</v>
      </c>
      <c r="F52" t="str">
        <f t="shared" si="5"/>
        <v>Footprints\Connectors\DF40C-40DS.PcbLib</v>
      </c>
      <c r="G52" t="s">
        <v>1157</v>
      </c>
      <c r="K52" t="s">
        <v>978</v>
      </c>
      <c r="L52" t="s">
        <v>1450</v>
      </c>
    </row>
    <row r="53" spans="1:12" x14ac:dyDescent="0.3">
      <c r="A53" t="s">
        <v>1177</v>
      </c>
      <c r="B53" t="s">
        <v>1178</v>
      </c>
      <c r="C53" s="2" t="s">
        <v>1177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1177</v>
      </c>
      <c r="J53" t="s">
        <v>1179</v>
      </c>
      <c r="K53" t="s">
        <v>978</v>
      </c>
      <c r="L53" t="s">
        <v>1425</v>
      </c>
    </row>
    <row r="54" spans="1:12" x14ac:dyDescent="0.3">
      <c r="A54" t="s">
        <v>1181</v>
      </c>
      <c r="B54" t="s">
        <v>1180</v>
      </c>
      <c r="C54" t="s">
        <v>1177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1182</v>
      </c>
      <c r="J54" t="s">
        <v>1179</v>
      </c>
      <c r="K54" t="s">
        <v>978</v>
      </c>
      <c r="L54" t="s">
        <v>1425</v>
      </c>
    </row>
    <row r="55" spans="1:12" x14ac:dyDescent="0.3">
      <c r="A55" s="33" t="s">
        <v>1379</v>
      </c>
      <c r="B55" s="34" t="s">
        <v>1380</v>
      </c>
      <c r="C55" s="34" t="s">
        <v>1379</v>
      </c>
      <c r="D55" s="34" t="s">
        <v>984</v>
      </c>
      <c r="E55" s="34" t="s">
        <v>985</v>
      </c>
      <c r="F55" s="34" t="s">
        <v>1381</v>
      </c>
      <c r="G55" s="34" t="s">
        <v>1382</v>
      </c>
      <c r="H55" s="34"/>
      <c r="I55" s="34"/>
      <c r="J55" s="34"/>
      <c r="K55" s="40" t="s">
        <v>978</v>
      </c>
    </row>
    <row r="56" spans="1:12" x14ac:dyDescent="0.3">
      <c r="A56" t="s">
        <v>1383</v>
      </c>
      <c r="B56" t="s">
        <v>1384</v>
      </c>
      <c r="C56" s="2" t="s">
        <v>1383</v>
      </c>
      <c r="D56" s="34" t="s">
        <v>1385</v>
      </c>
      <c r="E56" t="s">
        <v>1383</v>
      </c>
      <c r="F56" s="34" t="s">
        <v>1387</v>
      </c>
      <c r="G56" t="s">
        <v>1388</v>
      </c>
      <c r="J56" t="s">
        <v>1386</v>
      </c>
      <c r="K56" s="40" t="s">
        <v>978</v>
      </c>
      <c r="L56" t="s">
        <v>1425</v>
      </c>
    </row>
    <row r="57" spans="1:12" x14ac:dyDescent="0.3">
      <c r="A57" t="s">
        <v>1396</v>
      </c>
      <c r="B57" t="s">
        <v>1397</v>
      </c>
      <c r="C57" t="str">
        <f t="shared" ref="C57:C58" si="6">A57</f>
        <v>DIN41612_48_3row_straight_female</v>
      </c>
      <c r="D57" t="str">
        <f t="shared" ref="D57" si="7">CONCATENATE("Schematic\Connectors\", E57, ".SchLib")</f>
        <v>Schematic\Connectors\Conn_48pin_3row.SchLib</v>
      </c>
      <c r="E57" t="s">
        <v>1398</v>
      </c>
      <c r="F57" t="str">
        <f t="shared" ref="F57:F58" si="8">CONCATENATE("Footprints\Connectors\", G57, ".PcbLib")</f>
        <v>Footprints\Connectors\DIN41612_48_3row_straight_female.PcbLib</v>
      </c>
      <c r="G57" t="s">
        <v>1396</v>
      </c>
      <c r="J57" s="38" t="s">
        <v>1399</v>
      </c>
      <c r="K57" t="s">
        <v>978</v>
      </c>
      <c r="L57" t="s">
        <v>1450</v>
      </c>
    </row>
    <row r="58" spans="1:12" x14ac:dyDescent="0.3">
      <c r="A58" t="s">
        <v>1400</v>
      </c>
      <c r="B58" t="s">
        <v>1401</v>
      </c>
      <c r="C58" s="2" t="str">
        <f t="shared" si="6"/>
        <v>DIN41612_48_3row_right_angle_male</v>
      </c>
      <c r="D58" t="str">
        <f>CONCATENATE("Schematic\Connectors\", E58, ".SchLib")</f>
        <v>Schematic\Connectors\Conn_48pin_3row.SchLib</v>
      </c>
      <c r="E58" t="s">
        <v>1398</v>
      </c>
      <c r="F58" t="str">
        <f t="shared" si="8"/>
        <v>Footprints\Connectors\DIN41612_48_3row_right_angle_male.PcbLib</v>
      </c>
      <c r="G58" t="s">
        <v>1400</v>
      </c>
      <c r="J58" s="38" t="s">
        <v>1399</v>
      </c>
      <c r="K58" s="41" t="s">
        <v>978</v>
      </c>
      <c r="L58" t="s">
        <v>1450</v>
      </c>
    </row>
    <row r="59" spans="1:12" x14ac:dyDescent="0.3">
      <c r="A59">
        <v>430450200</v>
      </c>
      <c r="B59" t="s">
        <v>1433</v>
      </c>
      <c r="C59">
        <v>430450200</v>
      </c>
      <c r="D59" t="s">
        <v>353</v>
      </c>
      <c r="E59" t="s">
        <v>119</v>
      </c>
      <c r="F59" t="s">
        <v>1434</v>
      </c>
      <c r="G59" t="s">
        <v>1435</v>
      </c>
      <c r="J59" t="s">
        <v>1436</v>
      </c>
      <c r="K59" t="s">
        <v>978</v>
      </c>
      <c r="L59" t="s">
        <v>1425</v>
      </c>
    </row>
    <row r="60" spans="1:12" x14ac:dyDescent="0.3">
      <c r="A60" t="s">
        <v>1437</v>
      </c>
      <c r="B60" t="s">
        <v>1438</v>
      </c>
      <c r="C60" t="s">
        <v>1437</v>
      </c>
      <c r="D60" t="s">
        <v>1439</v>
      </c>
      <c r="E60" t="s">
        <v>1437</v>
      </c>
      <c r="F60" t="s">
        <v>1440</v>
      </c>
      <c r="G60" t="s">
        <v>1437</v>
      </c>
      <c r="J60" t="s">
        <v>1441</v>
      </c>
      <c r="K60" t="s">
        <v>978</v>
      </c>
      <c r="L60" t="s">
        <v>1425</v>
      </c>
    </row>
    <row r="61" spans="1:12" x14ac:dyDescent="0.3">
      <c r="A61" t="s">
        <v>1453</v>
      </c>
      <c r="B61" t="s">
        <v>1454</v>
      </c>
      <c r="C61" s="2" t="s">
        <v>1455</v>
      </c>
      <c r="D61" t="str">
        <f t="shared" ref="D61" si="9">CONCATENATE("Schematic\Connectors\", E61, ".SchLib")</f>
        <v>Schematic\Connectors\RJ45-8p8c.SchLib</v>
      </c>
      <c r="E61" t="s">
        <v>1456</v>
      </c>
      <c r="F61" t="str">
        <f t="shared" ref="F61" si="10">CONCATENATE("Footprints\Connectors\", G61, ".PcbLib")</f>
        <v>Footprints\Connectors\1-406541-5.PcbLib</v>
      </c>
      <c r="G61" t="s">
        <v>1455</v>
      </c>
      <c r="J61" s="38" t="s">
        <v>1457</v>
      </c>
      <c r="K61" t="s">
        <v>978</v>
      </c>
      <c r="L61" t="s">
        <v>1450</v>
      </c>
    </row>
    <row r="62" spans="1:12" x14ac:dyDescent="0.3">
      <c r="A62" t="s">
        <v>1484</v>
      </c>
      <c r="B62" t="s">
        <v>1485</v>
      </c>
      <c r="C62" t="s">
        <v>1484</v>
      </c>
      <c r="D62" s="34" t="s">
        <v>1486</v>
      </c>
      <c r="E62" t="s">
        <v>1484</v>
      </c>
      <c r="F62" s="34" t="s">
        <v>1487</v>
      </c>
      <c r="G62" t="s">
        <v>1484</v>
      </c>
      <c r="J62" s="38" t="s">
        <v>1488</v>
      </c>
      <c r="K62" s="40" t="s">
        <v>978</v>
      </c>
      <c r="L62" t="s">
        <v>1425</v>
      </c>
    </row>
    <row r="63" spans="1:12" x14ac:dyDescent="0.3">
      <c r="A63" t="s">
        <v>1555</v>
      </c>
      <c r="B63" t="s">
        <v>1558</v>
      </c>
      <c r="C63" s="2" t="s">
        <v>1555</v>
      </c>
      <c r="D63" s="54" t="s">
        <v>1554</v>
      </c>
      <c r="E63" t="s">
        <v>1555</v>
      </c>
      <c r="F63" s="54" t="s">
        <v>1557</v>
      </c>
      <c r="G63" t="s">
        <v>1556</v>
      </c>
      <c r="J63" t="s">
        <v>1553</v>
      </c>
      <c r="K63" s="40" t="s">
        <v>978</v>
      </c>
      <c r="L63" t="s">
        <v>1425</v>
      </c>
    </row>
    <row r="64" spans="1:12" x14ac:dyDescent="0.3">
      <c r="A64" t="s">
        <v>1560</v>
      </c>
      <c r="B64" t="s">
        <v>1559</v>
      </c>
      <c r="C64">
        <v>467650001</v>
      </c>
      <c r="D64" s="54" t="s">
        <v>1561</v>
      </c>
      <c r="E64">
        <v>467650001</v>
      </c>
      <c r="F64" s="54" t="s">
        <v>1562</v>
      </c>
      <c r="G64">
        <v>467650001</v>
      </c>
      <c r="J64" t="s">
        <v>1563</v>
      </c>
      <c r="K64" s="40" t="s">
        <v>978</v>
      </c>
      <c r="L64" t="s">
        <v>1425</v>
      </c>
    </row>
    <row r="65" spans="1:12" x14ac:dyDescent="0.3">
      <c r="A65" t="s">
        <v>1568</v>
      </c>
      <c r="B65" t="s">
        <v>1569</v>
      </c>
      <c r="C65" s="2" t="s">
        <v>1568</v>
      </c>
      <c r="D65" s="54" t="s">
        <v>1566</v>
      </c>
      <c r="E65" t="s">
        <v>1564</v>
      </c>
      <c r="F65" s="54" t="s">
        <v>1565</v>
      </c>
      <c r="G65" t="s">
        <v>1564</v>
      </c>
      <c r="J65" t="s">
        <v>1567</v>
      </c>
      <c r="K65" s="40" t="s">
        <v>978</v>
      </c>
      <c r="L65" t="s">
        <v>1425</v>
      </c>
    </row>
    <row r="66" spans="1:12" x14ac:dyDescent="0.3">
      <c r="A66" t="s">
        <v>1571</v>
      </c>
      <c r="B66" t="s">
        <v>1575</v>
      </c>
      <c r="C66" s="2" t="s">
        <v>1571</v>
      </c>
      <c r="D66" s="54" t="s">
        <v>1572</v>
      </c>
      <c r="E66" t="s">
        <v>1571</v>
      </c>
      <c r="F66" s="54" t="s">
        <v>1573</v>
      </c>
      <c r="G66" t="s">
        <v>1571</v>
      </c>
      <c r="J66" t="s">
        <v>1574</v>
      </c>
      <c r="K66" s="40" t="s">
        <v>978</v>
      </c>
      <c r="L66" t="s">
        <v>1425</v>
      </c>
    </row>
    <row r="67" spans="1:12" x14ac:dyDescent="0.3">
      <c r="A67" t="s">
        <v>1589</v>
      </c>
      <c r="B67" t="s">
        <v>1590</v>
      </c>
      <c r="C67" s="2" t="s">
        <v>1589</v>
      </c>
      <c r="D67" t="str">
        <f>CONCATENATE("Schematic\Connectors\", E67, ".SchLib")</f>
        <v>Schematic\Connectors\Conn_4pin_sh.SchLib</v>
      </c>
      <c r="E67" t="s">
        <v>1588</v>
      </c>
      <c r="F67" t="str">
        <f t="shared" ref="F67" si="11">CONCATENATE("Footprints\Connectors\", G67, ".PcbLib")</f>
        <v>Footprints\Connectors\BM04B-SRSS-TB.PcbLib</v>
      </c>
      <c r="G67" t="s">
        <v>1589</v>
      </c>
      <c r="J67" s="38" t="s">
        <v>1591</v>
      </c>
      <c r="K67" s="40" t="s">
        <v>978</v>
      </c>
      <c r="L67" t="s">
        <v>1425</v>
      </c>
    </row>
    <row r="68" spans="1:12" x14ac:dyDescent="0.3">
      <c r="A68" s="72" t="s">
        <v>1714</v>
      </c>
      <c r="B68" t="s">
        <v>1711</v>
      </c>
      <c r="C68" s="2" t="str">
        <f>A68</f>
        <v>Picoblade_532610371</v>
      </c>
      <c r="D68" t="str">
        <f>CONCATENATE("Schematic\Connectors\",A68,".SchLib")</f>
        <v>Schematic\Connectors\Picoblade_532610371.SchLib</v>
      </c>
      <c r="E68" s="72" t="str">
        <f>A68</f>
        <v>Picoblade_532610371</v>
      </c>
      <c r="F68" t="str">
        <f>CONCATENATE("Footprints\Connectors\",G68,".PcbLib")</f>
        <v>Footprints\Connectors\CONN_532610001-SD_03_MOL.PcbLib</v>
      </c>
      <c r="G68" t="s">
        <v>1712</v>
      </c>
      <c r="K68" s="40" t="s">
        <v>978</v>
      </c>
      <c r="L68" t="s">
        <v>1707</v>
      </c>
    </row>
    <row r="69" spans="1:12" x14ac:dyDescent="0.3">
      <c r="A69" t="s">
        <v>1718</v>
      </c>
      <c r="B69" t="s">
        <v>1717</v>
      </c>
      <c r="C69" t="s">
        <v>1715</v>
      </c>
      <c r="D69" s="53" t="str">
        <f>CONCATENATE("Schematic\Connectors\", A69, ".SchLib")</f>
        <v>Schematic\Connectors\PicoBlade_53398-0471.SchLib</v>
      </c>
      <c r="E69" t="str">
        <f>A69</f>
        <v>PicoBlade_53398-0471</v>
      </c>
      <c r="F69" s="53" t="str">
        <f>CONCATENATE("Footprints\Connectors\",G69,".PcbLib")</f>
        <v>Footprints\Connectors\53398-0471.PcbLib</v>
      </c>
      <c r="G69" t="s">
        <v>1715</v>
      </c>
      <c r="J69" s="38" t="s">
        <v>1716</v>
      </c>
      <c r="K69" s="40" t="s">
        <v>978</v>
      </c>
      <c r="L69" t="s">
        <v>1707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  <hyperlink ref="J69" r:id="rId8" display="https://www.chipdip.ru/product/53398-0471-razem-picoblade-1.25-mm-4pin-shtyrevoy-na-molex-9000180711?utm_source=direct&amp;utm_medium=cpc&amp;utm_campaign=Y_dinamicheskaya_max_conv&amp;utm_content=text1_ya&amp;utm_term=---autotargeting&amp;position_type=dynamic_places&amp;etext=&amp;ybaip=1" xr:uid="{4B9C5FAB-F177-4D66-9939-62B5C3306036}"/>
  </hyperlinks>
  <pageMargins left="0.7" right="0.7" top="0.75" bottom="0.75" header="0.3" footer="0.3"/>
  <pageSetup paperSize="9" orientation="portrait" r:id="rId9"/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2026-07-21T19:32:42Z</dcterms:modified>
</cp:coreProperties>
</file>